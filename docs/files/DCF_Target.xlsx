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/Downloads/"/>
    </mc:Choice>
  </mc:AlternateContent>
  <xr:revisionPtr revIDLastSave="0" documentId="8_{14B398DC-9532-6C41-8972-1221570425DC}" xr6:coauthVersionLast="47" xr6:coauthVersionMax="47" xr10:uidLastSave="{00000000-0000-0000-0000-000000000000}"/>
  <bookViews>
    <workbookView xWindow="0" yWindow="600" windowWidth="28800" windowHeight="16280" activeTab="5" xr2:uid="{00000000-000D-0000-FFFF-FFFF00000000}"/>
  </bookViews>
  <sheets>
    <sheet name="FCF" sheetId="1" state="hidden" r:id="rId1"/>
    <sheet name="WACC" sheetId="2" state="hidden" r:id="rId2"/>
    <sheet name="Terminal Value" sheetId="3" state="hidden" r:id="rId3"/>
    <sheet name="Discounting" sheetId="4" state="hidden" r:id="rId4"/>
    <sheet name="Enterprise to Equity" sheetId="5" state="hidden" r:id="rId5"/>
    <sheet name="Full_DCF" sheetId="6" r:id="rId6"/>
    <sheet name="DCF_W_Historic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7" l="1"/>
  <c r="C41" i="7"/>
  <c r="C36" i="7"/>
  <c r="C35" i="7"/>
  <c r="C33" i="7"/>
  <c r="C32" i="7"/>
  <c r="D32" i="7" s="1"/>
  <c r="F25" i="7"/>
  <c r="C42" i="7" s="1"/>
  <c r="F24" i="7"/>
  <c r="C43" i="7" s="1"/>
  <c r="C44" i="7" s="1"/>
  <c r="C24" i="7"/>
  <c r="G19" i="7"/>
  <c r="F19" i="7"/>
  <c r="E19" i="7"/>
  <c r="D19" i="7"/>
  <c r="C19" i="7"/>
  <c r="H19" i="7" s="1"/>
  <c r="C25" i="7" s="1"/>
  <c r="C18" i="7"/>
  <c r="G17" i="7"/>
  <c r="F17" i="7"/>
  <c r="E17" i="7"/>
  <c r="D17" i="7"/>
  <c r="H17" i="7" s="1"/>
  <c r="C17" i="7"/>
  <c r="G16" i="7"/>
  <c r="F16" i="7"/>
  <c r="E16" i="7"/>
  <c r="D16" i="7"/>
  <c r="C16" i="7"/>
  <c r="H16" i="7" s="1"/>
  <c r="G15" i="7"/>
  <c r="F15" i="7"/>
  <c r="E15" i="7"/>
  <c r="D15" i="7"/>
  <c r="C15" i="7"/>
  <c r="H15" i="7" s="1"/>
  <c r="H14" i="7"/>
  <c r="G14" i="7"/>
  <c r="F14" i="7"/>
  <c r="E14" i="7"/>
  <c r="D14" i="7"/>
  <c r="G9" i="7"/>
  <c r="C37" i="7" s="1"/>
  <c r="F9" i="7"/>
  <c r="F18" i="7" s="1"/>
  <c r="E9" i="7"/>
  <c r="E18" i="7" s="1"/>
  <c r="D9" i="7"/>
  <c r="D18" i="7" s="1"/>
  <c r="C9" i="7"/>
  <c r="C41" i="6"/>
  <c r="C23" i="6"/>
  <c r="C19" i="6"/>
  <c r="D19" i="6" s="1"/>
  <c r="E19" i="6" s="1"/>
  <c r="F19" i="6" s="1"/>
  <c r="G19" i="6" s="1"/>
  <c r="H19" i="6" s="1"/>
  <c r="D18" i="6"/>
  <c r="E18" i="6" s="1"/>
  <c r="F18" i="6" s="1"/>
  <c r="G18" i="6" s="1"/>
  <c r="H18" i="6" s="1"/>
  <c r="D17" i="6"/>
  <c r="E17" i="6" s="1"/>
  <c r="F17" i="6" s="1"/>
  <c r="G17" i="6" s="1"/>
  <c r="H17" i="6" s="1"/>
  <c r="C16" i="6"/>
  <c r="C20" i="6" s="1"/>
  <c r="D15" i="6"/>
  <c r="F8" i="6"/>
  <c r="C8" i="6"/>
  <c r="F7" i="6"/>
  <c r="C25" i="6" s="1"/>
  <c r="C7" i="6"/>
  <c r="H53" i="7" l="1"/>
  <c r="G53" i="7"/>
  <c r="F53" i="7"/>
  <c r="E53" i="7"/>
  <c r="D53" i="7"/>
  <c r="C53" i="7"/>
  <c r="D20" i="6"/>
  <c r="H18" i="7"/>
  <c r="D37" i="7" s="1"/>
  <c r="D36" i="7"/>
  <c r="D33" i="7"/>
  <c r="D35" i="7"/>
  <c r="E32" i="7"/>
  <c r="C38" i="7"/>
  <c r="C26" i="6"/>
  <c r="D16" i="6"/>
  <c r="E15" i="6"/>
  <c r="G18" i="7"/>
  <c r="C34" i="7"/>
  <c r="C24" i="6"/>
  <c r="F35" i="6" l="1"/>
  <c r="E35" i="6"/>
  <c r="D35" i="6"/>
  <c r="D36" i="6" s="1"/>
  <c r="C35" i="6"/>
  <c r="G35" i="6"/>
  <c r="H35" i="6"/>
  <c r="E37" i="7"/>
  <c r="E35" i="7"/>
  <c r="F32" i="7"/>
  <c r="E36" i="7"/>
  <c r="E33" i="7"/>
  <c r="D34" i="7"/>
  <c r="D38" i="7" s="1"/>
  <c r="D54" i="7" s="1"/>
  <c r="F15" i="6"/>
  <c r="E16" i="6"/>
  <c r="E20" i="6" s="1"/>
  <c r="E36" i="6" s="1"/>
  <c r="G15" i="6" l="1"/>
  <c r="F16" i="6"/>
  <c r="F20" i="6"/>
  <c r="F36" i="6" s="1"/>
  <c r="F37" i="7"/>
  <c r="F33" i="7"/>
  <c r="F35" i="7"/>
  <c r="G32" i="7"/>
  <c r="F36" i="7"/>
  <c r="E34" i="7"/>
  <c r="E38" i="7" s="1"/>
  <c r="E54" i="7" s="1"/>
  <c r="G35" i="7" l="1"/>
  <c r="H32" i="7"/>
  <c r="G36" i="7"/>
  <c r="G37" i="7"/>
  <c r="G33" i="7"/>
  <c r="F34" i="7"/>
  <c r="F38" i="7" s="1"/>
  <c r="F54" i="7" s="1"/>
  <c r="H15" i="6"/>
  <c r="G16" i="6"/>
  <c r="G20" i="6"/>
  <c r="G36" i="6" s="1"/>
  <c r="H16" i="6" l="1"/>
  <c r="H20" i="6"/>
  <c r="H29" i="6"/>
  <c r="H30" i="6" s="1"/>
  <c r="H35" i="7"/>
  <c r="H36" i="7"/>
  <c r="H37" i="7"/>
  <c r="H33" i="7"/>
  <c r="G34" i="7"/>
  <c r="G38" i="7" s="1"/>
  <c r="G54" i="7" s="1"/>
  <c r="H34" i="7" l="1"/>
  <c r="H38" i="7" s="1"/>
  <c r="H47" i="7"/>
  <c r="H48" i="7" s="1"/>
  <c r="H36" i="6"/>
  <c r="H31" i="6"/>
  <c r="H32" i="6" s="1"/>
  <c r="H37" i="6" s="1"/>
  <c r="C38" i="6" s="1"/>
  <c r="C45" i="6" s="1"/>
  <c r="C48" i="6" s="1"/>
  <c r="H54" i="7" l="1"/>
  <c r="H49" i="7"/>
  <c r="H50" i="7"/>
  <c r="H55" i="7" s="1"/>
  <c r="C56" i="7" s="1"/>
  <c r="C63" i="7" s="1"/>
  <c r="C66" i="7" s="1"/>
</calcChain>
</file>

<file path=xl/sharedStrings.xml><?xml version="1.0" encoding="utf-8"?>
<sst xmlns="http://schemas.openxmlformats.org/spreadsheetml/2006/main" count="166" uniqueCount="78">
  <si>
    <t>Discounted Cash Flow - Target</t>
  </si>
  <si>
    <t>Assumptions</t>
  </si>
  <si>
    <t>Growth Rate</t>
  </si>
  <si>
    <t>Beta</t>
  </si>
  <si>
    <t>EV/EBITDA Multiple</t>
  </si>
  <si>
    <t>Market Return</t>
  </si>
  <si>
    <t>Cost of Debt</t>
  </si>
  <si>
    <t>Equity Value</t>
  </si>
  <si>
    <t>Tax Rate %</t>
  </si>
  <si>
    <t>Debt Value</t>
  </si>
  <si>
    <t>10yr Treasury</t>
  </si>
  <si>
    <t>Period</t>
  </si>
  <si>
    <t>Free Cash Flows</t>
  </si>
  <si>
    <t>EBIT</t>
  </si>
  <si>
    <t>Tax</t>
  </si>
  <si>
    <t>D&amp;A</t>
  </si>
  <si>
    <t>CapEx</t>
  </si>
  <si>
    <t>Non-cash Working Capital (inc)/dec</t>
  </si>
  <si>
    <t>FCF</t>
  </si>
  <si>
    <t>WACC</t>
  </si>
  <si>
    <t>Cost of Equity</t>
  </si>
  <si>
    <t>D/D+E</t>
  </si>
  <si>
    <t>E/D+E</t>
  </si>
  <si>
    <t>Terminal Value</t>
  </si>
  <si>
    <t>EBITDA</t>
  </si>
  <si>
    <t>Exit Multiple</t>
  </si>
  <si>
    <t>Perpetuity Growth</t>
  </si>
  <si>
    <t>Average</t>
  </si>
  <si>
    <t>Discounting</t>
  </si>
  <si>
    <t>Discount Factor</t>
  </si>
  <si>
    <t>PV FCF</t>
  </si>
  <si>
    <t>PV TV</t>
  </si>
  <si>
    <t>Enterprise Value</t>
  </si>
  <si>
    <t>Enterprise  to Equity Value</t>
  </si>
  <si>
    <t>Cash</t>
  </si>
  <si>
    <t>Marketable Securities</t>
  </si>
  <si>
    <t>Short-term Debt</t>
  </si>
  <si>
    <t>Long-term Debt</t>
  </si>
  <si>
    <t>Shares Outstanding</t>
  </si>
  <si>
    <t>Determined Share Price</t>
  </si>
  <si>
    <t>Calculate FCF</t>
  </si>
  <si>
    <t>Assumptions:</t>
  </si>
  <si>
    <t>Depreciation</t>
  </si>
  <si>
    <t>Amortization</t>
  </si>
  <si>
    <t>Non-cash working capital (inc) / dec</t>
  </si>
  <si>
    <t xml:space="preserve"> </t>
  </si>
  <si>
    <t>Free Cash Flow</t>
  </si>
  <si>
    <t xml:space="preserve">Tax </t>
  </si>
  <si>
    <t>Calculate WACC</t>
  </si>
  <si>
    <t>E / D + E</t>
  </si>
  <si>
    <t>D/ D + E</t>
  </si>
  <si>
    <t>Calculate Terminal Value</t>
  </si>
  <si>
    <t>Perpetuity Growth TV</t>
  </si>
  <si>
    <t>EV / EBITDA TV</t>
  </si>
  <si>
    <t>Discounted Cash Flows</t>
  </si>
  <si>
    <t>Disocunt Factor</t>
  </si>
  <si>
    <t>PV of FCF</t>
  </si>
  <si>
    <t>PV of TV</t>
  </si>
  <si>
    <t>Enterprise to Equity Value</t>
  </si>
  <si>
    <t>Share Price</t>
  </si>
  <si>
    <t>Discounted Cash Flow - Target (Historical Drivers)</t>
  </si>
  <si>
    <t>Historical (US$ M)</t>
  </si>
  <si>
    <t>FY2021A</t>
  </si>
  <si>
    <t>FY2022A</t>
  </si>
  <si>
    <t>FY2023A</t>
  </si>
  <si>
    <t>FY2024A</t>
  </si>
  <si>
    <t>FY2025A</t>
  </si>
  <si>
    <t>5Y Avg / CAGR</t>
  </si>
  <si>
    <t>Revenue</t>
  </si>
  <si>
    <t>Pre-tax Earnings</t>
  </si>
  <si>
    <t>Income Tax Provision</t>
  </si>
  <si>
    <t>Historical Drivers</t>
  </si>
  <si>
    <t>Revenue Growth %</t>
  </si>
  <si>
    <t>EBIT Margin %</t>
  </si>
  <si>
    <t>D&amp;A % of Revenue</t>
  </si>
  <si>
    <t>CapEx % of Revenue</t>
  </si>
  <si>
    <t>NWC (inc)/dec % of Revenue</t>
  </si>
  <si>
    <t>Effective Tax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</si>
</sst>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"/>
    <numFmt numFmtId="170" formatCode="General;\(General\)"/>
    <numFmt numFmtId="171" formatCode="0.0%;\(0.0%\)"/>
    <numFmt numFmtId="172" formatCode="0.00;\(0.00\)"/>
    <numFmt numFmtId="173" formatCode="0.0&quot;x&quot;;\(0.0&quot;x&quot;\)"/>
    <numFmt numFmtId="174" formatCode="0.00%;\(0.00%\)"/>
    <numFmt numFmtId="175" formatCode="0.0000;\(0.0000\)"/>
    <numFmt numFmtId="176" formatCode="#,##0.0;\(#,##0.0\)"/>
    <numFmt numFmtId="177" formatCode="\$#,##0.00;\(\$#,##0.00\)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5" xfId="0" applyNumberFormat="1" applyFont="1" applyFill="1" applyBorder="1" applyAlignment="1">
      <alignment horizontal="center"/>
    </xf>
    <xf numFmtId="0" fontId="0" fillId="0" borderId="2" xfId="0" applyNumberFormat="1" applyBorder="1"/>
    <xf numFmtId="0" fontId="0" fillId="0" borderId="0" xfId="0" applyNumberFormat="1"/>
    <xf numFmtId="0" fontId="0" fillId="0" borderId="3" xfId="0" applyNumberFormat="1" applyBorder="1"/>
    <xf numFmtId="0" fontId="2" fillId="2" borderId="0" xfId="0" applyNumberFormat="1" applyFont="1" applyFill="1" applyAlignment="1">
      <alignment horizontal="left"/>
    </xf>
    <xf numFmtId="0" fontId="0" fillId="0" borderId="0" xfId="0" applyNumberFormat="1"/>
    <xf numFmtId="0" fontId="1" fillId="0" borderId="0" xfId="0" applyNumberFormat="1" applyFont="1"/>
    <xf numFmtId="0" fontId="0" fillId="2" borderId="0" xfId="0" applyNumberFormat="1" applyFill="1"/>
    <xf numFmtId="0" fontId="0" fillId="0" borderId="1" xfId="0" applyNumberFormat="1" applyBorder="1"/>
    <xf numFmtId="0" fontId="4" fillId="0" borderId="3" xfId="0" applyNumberFormat="1" applyFont="1" applyBorder="1"/>
    <xf numFmtId="0" fontId="0" fillId="0" borderId="0" xfId="0" applyNumberFormat="1" applyAlignment="1">
      <alignment horizontal="right"/>
    </xf>
    <xf numFmtId="0" fontId="0" fillId="0" borderId="3" xfId="0" applyNumberFormat="1" applyBorder="1" applyAlignment="1">
      <alignment horizontal="right"/>
    </xf>
    <xf numFmtId="0" fontId="0" fillId="2" borderId="3" xfId="0" applyNumberFormat="1" applyFill="1" applyBorder="1"/>
    <xf numFmtId="0" fontId="0" fillId="0" borderId="4" xfId="0" applyNumberFormat="1" applyBorder="1"/>
    <xf numFmtId="0" fontId="0" fillId="0" borderId="4" xfId="0" applyNumberFormat="1" applyBorder="1" applyAlignment="1">
      <alignment horizontal="right"/>
    </xf>
    <xf numFmtId="0" fontId="0" fillId="2" borderId="4" xfId="0" applyNumberFormat="1" applyFill="1" applyBorder="1"/>
    <xf numFmtId="0" fontId="1" fillId="0" borderId="4" xfId="0" applyNumberFormat="1" applyFont="1" applyBorder="1"/>
    <xf numFmtId="0" fontId="0" fillId="0" borderId="3" xfId="0" applyNumberFormat="1" applyBorder="1" applyAlignment="1">
      <alignment horizontal="left"/>
    </xf>
    <xf numFmtId="0" fontId="0" fillId="0" borderId="0" xfId="0" applyNumberFormat="1" applyAlignment="1">
      <alignment horizontal="left"/>
    </xf>
    <xf numFmtId="0" fontId="3" fillId="2" borderId="0" xfId="0" applyNumberFormat="1" applyFont="1" applyFill="1" applyAlignment="1">
      <alignment horizontal="right"/>
    </xf>
    <xf numFmtId="170" fontId="3" fillId="2" borderId="0" xfId="0" applyNumberFormat="1" applyFont="1" applyFill="1"/>
    <xf numFmtId="0" fontId="2" fillId="2" borderId="0" xfId="0" applyNumberFormat="1" applyFont="1" applyFill="1"/>
    <xf numFmtId="0" fontId="3" fillId="2" borderId="0" xfId="0" applyNumberFormat="1" applyFont="1" applyFill="1"/>
    <xf numFmtId="0" fontId="0" fillId="3" borderId="0" xfId="0" applyNumberFormat="1" applyFill="1"/>
    <xf numFmtId="164" fontId="5" fillId="0" borderId="0" xfId="0" applyNumberFormat="1" applyFont="1"/>
    <xf numFmtId="164" fontId="6" fillId="0" borderId="0" xfId="0" applyNumberFormat="1" applyFont="1"/>
    <xf numFmtId="164" fontId="5" fillId="0" borderId="3" xfId="0" applyNumberFormat="1" applyFont="1" applyBorder="1"/>
    <xf numFmtId="171" fontId="6" fillId="3" borderId="0" xfId="0" applyNumberFormat="1" applyFont="1" applyFill="1"/>
    <xf numFmtId="171" fontId="6" fillId="3" borderId="3" xfId="0" applyNumberFormat="1" applyFont="1" applyFill="1" applyBorder="1"/>
    <xf numFmtId="171" fontId="6" fillId="0" borderId="0" xfId="0" applyNumberFormat="1" applyFont="1"/>
    <xf numFmtId="171" fontId="5" fillId="0" borderId="0" xfId="0" applyNumberFormat="1" applyFont="1" applyAlignment="1">
      <alignment horizontal="right"/>
    </xf>
    <xf numFmtId="172" fontId="5" fillId="0" borderId="0" xfId="0" applyNumberFormat="1" applyFont="1" applyAlignment="1">
      <alignment horizontal="right"/>
    </xf>
    <xf numFmtId="173" fontId="5" fillId="0" borderId="0" xfId="0" applyNumberFormat="1" applyFont="1" applyAlignment="1">
      <alignment horizontal="right"/>
    </xf>
    <xf numFmtId="17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71" fontId="6" fillId="0" borderId="0" xfId="0" applyNumberFormat="1" applyFont="1" applyAlignment="1">
      <alignment horizontal="right"/>
    </xf>
    <xf numFmtId="174" fontId="5" fillId="0" borderId="0" xfId="0" applyNumberFormat="1" applyFont="1"/>
    <xf numFmtId="164" fontId="6" fillId="3" borderId="0" xfId="0" applyNumberFormat="1" applyFont="1" applyFill="1"/>
    <xf numFmtId="164" fontId="6" fillId="0" borderId="3" xfId="0" applyNumberFormat="1" applyFont="1" applyBorder="1"/>
    <xf numFmtId="174" fontId="6" fillId="3" borderId="0" xfId="0" applyNumberFormat="1" applyFont="1" applyFill="1"/>
    <xf numFmtId="174" fontId="6" fillId="3" borderId="3" xfId="0" applyNumberFormat="1" applyFont="1" applyFill="1" applyBorder="1"/>
    <xf numFmtId="164" fontId="6" fillId="3" borderId="3" xfId="0" applyNumberFormat="1" applyFont="1" applyFill="1" applyBorder="1"/>
    <xf numFmtId="175" fontId="6" fillId="3" borderId="0" xfId="0" applyNumberFormat="1" applyFont="1" applyFill="1"/>
    <xf numFmtId="176" fontId="5" fillId="0" borderId="3" xfId="0" applyNumberFormat="1" applyFont="1" applyBorder="1"/>
    <xf numFmtId="177" fontId="6" fillId="3" borderId="0" xfId="0" applyNumberFormat="1" applyFont="1" applyFill="1"/>
    <xf numFmtId="164" fontId="5" fillId="0" borderId="0" xfId="0" applyNumberFormat="1" applyFont="1" applyAlignment="1">
      <alignment horizontal="right"/>
    </xf>
    <xf numFmtId="170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432222-99E1-D947-B075-5B01C0248BE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6af3147-9513-4f32-9dc5-a94c315e159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8"/>
  <sheetViews>
    <sheetView showGridLines="0" zoomScale="178" zoomScaleNormal="178" workbookViewId="0">
      <selection activeCell="K11" sqref="K11"/>
    </sheetView>
  </sheetViews>
  <sheetFormatPr baseColWidth="10" defaultRowHeight="16" x14ac:dyDescent="0.2"/>
  <cols>
    <col min="2" max="2" width="32.6640625" customWidth="1"/>
  </cols>
  <sheetData>
    <row r="2" spans="2:4" x14ac:dyDescent="0.2">
      <c r="B2" s="3" t="s">
        <v>40</v>
      </c>
      <c r="C2" s="4"/>
    </row>
    <row r="3" spans="2:4" x14ac:dyDescent="0.2">
      <c r="B3" s="5"/>
      <c r="C3" s="5"/>
    </row>
    <row r="4" spans="2:4" x14ac:dyDescent="0.2">
      <c r="B4" s="6" t="s">
        <v>41</v>
      </c>
      <c r="C4" s="6"/>
    </row>
    <row r="5" spans="2:4" x14ac:dyDescent="0.2">
      <c r="B5" s="5" t="s">
        <v>13</v>
      </c>
      <c r="C5" s="5"/>
    </row>
    <row r="6" spans="2:4" x14ac:dyDescent="0.2">
      <c r="B6" s="5" t="s">
        <v>8</v>
      </c>
      <c r="C6" s="5"/>
    </row>
    <row r="7" spans="2:4" x14ac:dyDescent="0.2">
      <c r="B7" s="5" t="s">
        <v>42</v>
      </c>
      <c r="C7" s="5"/>
    </row>
    <row r="8" spans="2:4" x14ac:dyDescent="0.2">
      <c r="B8" s="5" t="s">
        <v>43</v>
      </c>
      <c r="C8" s="5"/>
    </row>
    <row r="9" spans="2:4" x14ac:dyDescent="0.2">
      <c r="B9" s="5" t="s">
        <v>16</v>
      </c>
      <c r="C9" s="5"/>
    </row>
    <row r="10" spans="2:4" x14ac:dyDescent="0.2">
      <c r="B10" s="5" t="s">
        <v>44</v>
      </c>
      <c r="C10" s="5"/>
    </row>
    <row r="11" spans="2:4" x14ac:dyDescent="0.2">
      <c r="B11" s="5" t="s">
        <v>45</v>
      </c>
      <c r="C11" s="5"/>
    </row>
    <row r="12" spans="2:4" x14ac:dyDescent="0.2">
      <c r="B12" s="7" t="s">
        <v>46</v>
      </c>
      <c r="C12" s="8"/>
      <c r="D12" s="2"/>
    </row>
    <row r="13" spans="2:4" x14ac:dyDescent="0.2">
      <c r="B13" s="5" t="s">
        <v>13</v>
      </c>
      <c r="C13" s="5"/>
    </row>
    <row r="14" spans="2:4" x14ac:dyDescent="0.2">
      <c r="B14" s="5" t="s">
        <v>47</v>
      </c>
      <c r="C14" s="5"/>
    </row>
    <row r="15" spans="2:4" x14ac:dyDescent="0.2">
      <c r="B15" s="5" t="s">
        <v>15</v>
      </c>
      <c r="C15" s="5"/>
    </row>
    <row r="16" spans="2:4" x14ac:dyDescent="0.2">
      <c r="B16" s="5" t="s">
        <v>16</v>
      </c>
      <c r="C16" s="5"/>
    </row>
    <row r="17" spans="2:3" x14ac:dyDescent="0.2">
      <c r="B17" s="6" t="s">
        <v>44</v>
      </c>
      <c r="C17" s="6"/>
    </row>
    <row r="18" spans="2:3" x14ac:dyDescent="0.2">
      <c r="B18" s="9" t="s">
        <v>46</v>
      </c>
      <c r="C18" s="10"/>
    </row>
  </sheetData>
  <mergeCells count="2">
    <mergeCell ref="B2:C2"/>
    <mergeCell ref="B12:C1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5"/>
  <sheetViews>
    <sheetView showGridLines="0" zoomScale="200" workbookViewId="0">
      <selection activeCell="K11" sqref="K11"/>
    </sheetView>
  </sheetViews>
  <sheetFormatPr baseColWidth="10" defaultRowHeight="16" x14ac:dyDescent="0.2"/>
  <cols>
    <col min="2" max="2" width="12.6640625" bestFit="1" customWidth="1"/>
  </cols>
  <sheetData>
    <row r="2" spans="2:3" x14ac:dyDescent="0.2">
      <c r="B2" s="3" t="s">
        <v>48</v>
      </c>
      <c r="C2" s="4"/>
    </row>
    <row r="3" spans="2:3" x14ac:dyDescent="0.2">
      <c r="B3" s="5"/>
      <c r="C3" s="5"/>
    </row>
    <row r="4" spans="2:3" x14ac:dyDescent="0.2">
      <c r="B4" s="5" t="s">
        <v>7</v>
      </c>
      <c r="C4" s="5"/>
    </row>
    <row r="5" spans="2:3" x14ac:dyDescent="0.2">
      <c r="B5" s="5" t="s">
        <v>9</v>
      </c>
      <c r="C5" s="5"/>
    </row>
    <row r="6" spans="2:3" x14ac:dyDescent="0.2">
      <c r="B6" s="5" t="s">
        <v>6</v>
      </c>
      <c r="C6" s="5"/>
    </row>
    <row r="7" spans="2:3" x14ac:dyDescent="0.2">
      <c r="B7" s="5" t="s">
        <v>8</v>
      </c>
      <c r="C7" s="5"/>
    </row>
    <row r="8" spans="2:3" x14ac:dyDescent="0.2">
      <c r="B8" s="5" t="s">
        <v>10</v>
      </c>
      <c r="C8" s="5"/>
    </row>
    <row r="9" spans="2:3" x14ac:dyDescent="0.2">
      <c r="B9" s="5" t="s">
        <v>3</v>
      </c>
      <c r="C9" s="5"/>
    </row>
    <row r="10" spans="2:3" x14ac:dyDescent="0.2">
      <c r="B10" s="6" t="s">
        <v>5</v>
      </c>
      <c r="C10" s="6"/>
    </row>
    <row r="11" spans="2:3" x14ac:dyDescent="0.2">
      <c r="B11" s="5" t="s">
        <v>20</v>
      </c>
      <c r="C11" s="5"/>
    </row>
    <row r="12" spans="2:3" x14ac:dyDescent="0.2">
      <c r="B12" s="5"/>
      <c r="C12" s="5"/>
    </row>
    <row r="13" spans="2:3" x14ac:dyDescent="0.2">
      <c r="B13" s="5" t="s">
        <v>49</v>
      </c>
      <c r="C13" s="5"/>
    </row>
    <row r="14" spans="2:3" x14ac:dyDescent="0.2">
      <c r="B14" s="6" t="s">
        <v>50</v>
      </c>
      <c r="C14" s="6"/>
    </row>
    <row r="15" spans="2:3" x14ac:dyDescent="0.2">
      <c r="B15" s="9" t="s">
        <v>19</v>
      </c>
      <c r="C15" s="10"/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5"/>
  <sheetViews>
    <sheetView showGridLines="0" zoomScale="200" workbookViewId="0">
      <selection activeCell="K11" sqref="K11"/>
    </sheetView>
  </sheetViews>
  <sheetFormatPr baseColWidth="10" defaultRowHeight="16" x14ac:dyDescent="0.2"/>
  <cols>
    <col min="2" max="2" width="16.83203125" bestFit="1" customWidth="1"/>
  </cols>
  <sheetData>
    <row r="2" spans="2:8" x14ac:dyDescent="0.2">
      <c r="B2" s="3" t="s">
        <v>51</v>
      </c>
      <c r="C2" s="11"/>
      <c r="D2" s="11"/>
      <c r="E2" s="11"/>
      <c r="F2" s="11"/>
      <c r="G2" s="11"/>
      <c r="H2" s="4"/>
    </row>
    <row r="3" spans="2:8" x14ac:dyDescent="0.2">
      <c r="B3" s="5"/>
      <c r="C3" s="5"/>
      <c r="D3" s="5"/>
      <c r="E3" s="5"/>
      <c r="F3" s="5"/>
      <c r="G3" s="5"/>
      <c r="H3" s="5"/>
    </row>
    <row r="4" spans="2:8" x14ac:dyDescent="0.2">
      <c r="B4" s="12" t="s">
        <v>1</v>
      </c>
      <c r="C4" s="6"/>
      <c r="D4" s="5"/>
      <c r="E4" s="5"/>
      <c r="F4" s="5"/>
      <c r="G4" s="5"/>
      <c r="H4" s="5"/>
    </row>
    <row r="5" spans="2:8" x14ac:dyDescent="0.2">
      <c r="B5" s="5" t="s">
        <v>19</v>
      </c>
      <c r="C5" s="5"/>
      <c r="D5" s="5"/>
      <c r="E5" s="5"/>
      <c r="F5" s="5"/>
      <c r="G5" s="5"/>
      <c r="H5" s="5"/>
    </row>
    <row r="6" spans="2:8" x14ac:dyDescent="0.2">
      <c r="B6" s="5" t="s">
        <v>2</v>
      </c>
      <c r="C6" s="5"/>
      <c r="D6" s="5"/>
      <c r="E6" s="5"/>
      <c r="F6" s="5"/>
      <c r="G6" s="5"/>
      <c r="H6" s="5"/>
    </row>
    <row r="7" spans="2:8" x14ac:dyDescent="0.2">
      <c r="B7" s="5" t="s">
        <v>4</v>
      </c>
      <c r="C7" s="5"/>
      <c r="D7" s="5"/>
      <c r="E7" s="5"/>
      <c r="F7" s="5"/>
      <c r="G7" s="5"/>
      <c r="H7" s="5"/>
    </row>
    <row r="8" spans="2:8" x14ac:dyDescent="0.2">
      <c r="B8" s="5"/>
      <c r="C8" s="5"/>
      <c r="D8" s="5"/>
      <c r="E8" s="5"/>
      <c r="F8" s="5"/>
      <c r="G8" s="5"/>
      <c r="H8" s="5"/>
    </row>
    <row r="9" spans="2:8" x14ac:dyDescent="0.2">
      <c r="B9" s="10" t="s">
        <v>11</v>
      </c>
      <c r="C9" s="49">
        <v>0</v>
      </c>
      <c r="D9" s="49">
        <v>1</v>
      </c>
      <c r="E9" s="49">
        <v>2</v>
      </c>
      <c r="F9" s="49">
        <v>3</v>
      </c>
      <c r="G9" s="49">
        <v>4</v>
      </c>
      <c r="H9" s="49">
        <v>5</v>
      </c>
    </row>
    <row r="10" spans="2:8" x14ac:dyDescent="0.2">
      <c r="B10" s="5" t="s">
        <v>24</v>
      </c>
      <c r="C10" s="5"/>
      <c r="D10" s="5"/>
      <c r="E10" s="5"/>
      <c r="F10" s="5"/>
      <c r="G10" s="5"/>
      <c r="H10" s="5"/>
    </row>
    <row r="11" spans="2:8" x14ac:dyDescent="0.2">
      <c r="B11" s="5" t="s">
        <v>18</v>
      </c>
      <c r="C11" s="5"/>
      <c r="D11" s="5"/>
      <c r="E11" s="5"/>
      <c r="F11" s="5"/>
      <c r="G11" s="5"/>
      <c r="H11" s="5"/>
    </row>
    <row r="12" spans="2:8" x14ac:dyDescent="0.2">
      <c r="B12" s="5"/>
      <c r="C12" s="5"/>
      <c r="D12" s="5"/>
      <c r="E12" s="5"/>
      <c r="F12" s="5"/>
      <c r="G12" s="5"/>
      <c r="H12" s="5"/>
    </row>
    <row r="13" spans="2:8" x14ac:dyDescent="0.2">
      <c r="B13" s="5"/>
      <c r="C13" s="5"/>
      <c r="D13" s="5"/>
      <c r="E13" s="5"/>
      <c r="F13" s="5"/>
      <c r="G13" s="13" t="s">
        <v>52</v>
      </c>
      <c r="H13" s="10"/>
    </row>
    <row r="14" spans="2:8" x14ac:dyDescent="0.2">
      <c r="B14" s="5"/>
      <c r="C14" s="5"/>
      <c r="D14" s="5"/>
      <c r="E14" s="5"/>
      <c r="F14" s="6"/>
      <c r="G14" s="14" t="s">
        <v>53</v>
      </c>
      <c r="H14" s="15"/>
    </row>
    <row r="15" spans="2:8" x14ac:dyDescent="0.2">
      <c r="B15" s="5"/>
      <c r="C15" s="5"/>
      <c r="D15" s="5"/>
      <c r="E15" s="5"/>
      <c r="F15" s="5"/>
      <c r="G15" s="5" t="s">
        <v>27</v>
      </c>
      <c r="H15" s="10"/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5"/>
  <sheetViews>
    <sheetView showGridLines="0" zoomScale="200" workbookViewId="0">
      <selection activeCell="K11" sqref="K11"/>
    </sheetView>
  </sheetViews>
  <sheetFormatPr baseColWidth="10" defaultRowHeight="16" x14ac:dyDescent="0.2"/>
  <cols>
    <col min="2" max="2" width="16.83203125" bestFit="1" customWidth="1"/>
  </cols>
  <sheetData>
    <row r="2" spans="2:8" x14ac:dyDescent="0.2">
      <c r="B2" s="3" t="s">
        <v>54</v>
      </c>
      <c r="C2" s="11"/>
      <c r="D2" s="11"/>
      <c r="E2" s="11"/>
      <c r="F2" s="11"/>
      <c r="G2" s="11"/>
      <c r="H2" s="4"/>
    </row>
    <row r="3" spans="2:8" x14ac:dyDescent="0.2">
      <c r="B3" s="5"/>
      <c r="C3" s="5"/>
      <c r="D3" s="5"/>
      <c r="E3" s="5"/>
      <c r="F3" s="5"/>
      <c r="G3" s="5"/>
      <c r="H3" s="5"/>
    </row>
    <row r="4" spans="2:8" x14ac:dyDescent="0.2">
      <c r="B4" s="12" t="s">
        <v>1</v>
      </c>
      <c r="C4" s="6"/>
      <c r="D4" s="5"/>
      <c r="E4" s="5"/>
      <c r="F4" s="5"/>
      <c r="G4" s="5"/>
      <c r="H4" s="5"/>
    </row>
    <row r="5" spans="2:8" x14ac:dyDescent="0.2">
      <c r="B5" s="5" t="s">
        <v>19</v>
      </c>
      <c r="C5" s="5"/>
      <c r="D5" s="5"/>
      <c r="E5" s="5"/>
      <c r="F5" s="5"/>
      <c r="G5" s="5"/>
      <c r="H5" s="5"/>
    </row>
    <row r="6" spans="2:8" x14ac:dyDescent="0.2">
      <c r="B6" s="5"/>
      <c r="C6" s="5"/>
      <c r="D6" s="5"/>
      <c r="E6" s="5"/>
      <c r="F6" s="5"/>
      <c r="G6" s="5"/>
      <c r="H6" s="5"/>
    </row>
    <row r="7" spans="2:8" x14ac:dyDescent="0.2">
      <c r="B7" s="10" t="s">
        <v>11</v>
      </c>
      <c r="C7" s="49">
        <v>0</v>
      </c>
      <c r="D7" s="49">
        <v>1</v>
      </c>
      <c r="E7" s="49">
        <v>2</v>
      </c>
      <c r="F7" s="49">
        <v>3</v>
      </c>
      <c r="G7" s="49">
        <v>4</v>
      </c>
      <c r="H7" s="49">
        <v>5</v>
      </c>
    </row>
    <row r="8" spans="2:8" x14ac:dyDescent="0.2">
      <c r="B8" s="5" t="s">
        <v>18</v>
      </c>
      <c r="C8" s="5"/>
      <c r="D8" s="5"/>
      <c r="E8" s="5"/>
      <c r="F8" s="5"/>
      <c r="G8" s="5"/>
      <c r="H8" s="5"/>
    </row>
    <row r="9" spans="2:8" x14ac:dyDescent="0.2">
      <c r="B9" s="6" t="s">
        <v>23</v>
      </c>
      <c r="C9" s="6"/>
      <c r="D9" s="6"/>
      <c r="E9" s="6"/>
      <c r="F9" s="6"/>
      <c r="G9" s="6"/>
      <c r="H9" s="6"/>
    </row>
    <row r="10" spans="2:8" x14ac:dyDescent="0.2">
      <c r="B10" s="5" t="s">
        <v>55</v>
      </c>
      <c r="C10" s="5"/>
      <c r="D10" s="5"/>
      <c r="E10" s="5"/>
      <c r="F10" s="5"/>
      <c r="G10" s="5"/>
      <c r="H10" s="5"/>
    </row>
    <row r="11" spans="2:8" x14ac:dyDescent="0.2">
      <c r="B11" s="5"/>
      <c r="C11" s="5"/>
      <c r="D11" s="5"/>
      <c r="E11" s="5"/>
      <c r="F11" s="5"/>
      <c r="G11" s="13"/>
      <c r="H11" s="5"/>
    </row>
    <row r="12" spans="2:8" x14ac:dyDescent="0.2">
      <c r="B12" s="16" t="s">
        <v>56</v>
      </c>
      <c r="C12" s="16"/>
      <c r="D12" s="16"/>
      <c r="E12" s="16"/>
      <c r="F12" s="16"/>
      <c r="G12" s="17"/>
      <c r="H12" s="16"/>
    </row>
    <row r="13" spans="2:8" x14ac:dyDescent="0.2">
      <c r="B13" s="16" t="s">
        <v>57</v>
      </c>
      <c r="C13" s="16"/>
      <c r="D13" s="16"/>
      <c r="E13" s="16"/>
      <c r="F13" s="16"/>
      <c r="G13" s="16"/>
      <c r="H13" s="16"/>
    </row>
    <row r="14" spans="2:8" x14ac:dyDescent="0.2">
      <c r="B14" s="5"/>
      <c r="C14" s="5"/>
      <c r="D14" s="5"/>
      <c r="E14" s="5"/>
      <c r="F14" s="5"/>
      <c r="G14" s="5"/>
      <c r="H14" s="5"/>
    </row>
    <row r="15" spans="2:8" x14ac:dyDescent="0.2">
      <c r="B15" s="16" t="s">
        <v>32</v>
      </c>
      <c r="C15" s="18"/>
      <c r="D15" s="5"/>
      <c r="E15" s="5"/>
      <c r="F15" s="5"/>
      <c r="G15" s="5"/>
      <c r="H15" s="5"/>
    </row>
  </sheetData>
  <mergeCells count="1"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5"/>
  <sheetViews>
    <sheetView showGridLines="0" zoomScale="200" workbookViewId="0">
      <selection activeCell="K11" sqref="K11"/>
    </sheetView>
  </sheetViews>
  <sheetFormatPr baseColWidth="10" defaultRowHeight="16" x14ac:dyDescent="0.2"/>
  <cols>
    <col min="2" max="2" width="19" bestFit="1" customWidth="1"/>
  </cols>
  <sheetData>
    <row r="2" spans="2:3" x14ac:dyDescent="0.2">
      <c r="B2" s="3" t="s">
        <v>58</v>
      </c>
      <c r="C2" s="4"/>
    </row>
    <row r="3" spans="2:3" x14ac:dyDescent="0.2">
      <c r="B3" s="5"/>
      <c r="C3" s="5"/>
    </row>
    <row r="4" spans="2:3" x14ac:dyDescent="0.2">
      <c r="B4" s="5" t="s">
        <v>32</v>
      </c>
      <c r="C4" s="5"/>
    </row>
    <row r="5" spans="2:3" x14ac:dyDescent="0.2">
      <c r="B5" s="5" t="s">
        <v>34</v>
      </c>
      <c r="C5" s="5"/>
    </row>
    <row r="6" spans="2:3" x14ac:dyDescent="0.2">
      <c r="B6" s="5" t="s">
        <v>35</v>
      </c>
      <c r="C6" s="5"/>
    </row>
    <row r="7" spans="2:3" x14ac:dyDescent="0.2">
      <c r="B7" s="5" t="s">
        <v>36</v>
      </c>
      <c r="C7" s="5"/>
    </row>
    <row r="8" spans="2:3" x14ac:dyDescent="0.2">
      <c r="B8" s="5" t="s">
        <v>37</v>
      </c>
      <c r="C8" s="5"/>
    </row>
    <row r="9" spans="2:3" x14ac:dyDescent="0.2">
      <c r="B9" s="19" t="s">
        <v>7</v>
      </c>
      <c r="C9" s="18"/>
    </row>
    <row r="10" spans="2:3" x14ac:dyDescent="0.2">
      <c r="B10" s="5"/>
      <c r="C10" s="5"/>
    </row>
    <row r="11" spans="2:3" x14ac:dyDescent="0.2">
      <c r="B11" s="6" t="s">
        <v>38</v>
      </c>
      <c r="C11" s="6"/>
    </row>
    <row r="12" spans="2:3" x14ac:dyDescent="0.2">
      <c r="B12" s="9" t="s">
        <v>59</v>
      </c>
      <c r="C12" s="10"/>
    </row>
    <row r="15" spans="2:3" x14ac:dyDescent="0.2">
      <c r="B15" s="1"/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48"/>
  <sheetViews>
    <sheetView showGridLines="0" tabSelected="1" workbookViewId="0">
      <selection activeCell="I9" sqref="I9"/>
    </sheetView>
  </sheetViews>
  <sheetFormatPr baseColWidth="10" defaultRowHeight="16" x14ac:dyDescent="0.2"/>
  <cols>
    <col min="2" max="2" width="30.5" bestFit="1" customWidth="1"/>
    <col min="5" max="5" width="12.6640625" bestFit="1" customWidth="1"/>
  </cols>
  <sheetData>
    <row r="2" spans="2:8" x14ac:dyDescent="0.2">
      <c r="B2" s="3" t="s">
        <v>0</v>
      </c>
      <c r="C2" s="11"/>
      <c r="D2" s="11"/>
      <c r="E2" s="11"/>
      <c r="F2" s="11"/>
      <c r="G2" s="11"/>
      <c r="H2" s="4"/>
    </row>
    <row r="3" spans="2:8" x14ac:dyDescent="0.2">
      <c r="B3" s="5"/>
      <c r="C3" s="5"/>
      <c r="D3" s="5"/>
      <c r="E3" s="5"/>
      <c r="F3" s="5"/>
      <c r="G3" s="5"/>
      <c r="H3" s="5"/>
    </row>
    <row r="4" spans="2:8" x14ac:dyDescent="0.2">
      <c r="B4" s="20" t="s">
        <v>1</v>
      </c>
      <c r="C4" s="6"/>
      <c r="D4" s="5"/>
      <c r="E4" s="6" t="s">
        <v>1</v>
      </c>
      <c r="F4" s="6"/>
      <c r="G4" s="5"/>
      <c r="H4" s="5"/>
    </row>
    <row r="5" spans="2:8" x14ac:dyDescent="0.2">
      <c r="B5" s="21" t="s">
        <v>2</v>
      </c>
      <c r="C5" s="33">
        <v>2.5000000000000001E-2</v>
      </c>
      <c r="D5" s="5"/>
      <c r="E5" s="5" t="s">
        <v>3</v>
      </c>
      <c r="F5" s="34">
        <v>0.98</v>
      </c>
      <c r="G5" s="5"/>
      <c r="H5" s="5"/>
    </row>
    <row r="6" spans="2:8" x14ac:dyDescent="0.2">
      <c r="B6" s="21" t="s">
        <v>4</v>
      </c>
      <c r="C6" s="35">
        <v>10</v>
      </c>
      <c r="D6" s="5"/>
      <c r="E6" s="5" t="s">
        <v>5</v>
      </c>
      <c r="F6" s="33">
        <v>0.1</v>
      </c>
      <c r="G6" s="5"/>
      <c r="H6" s="5"/>
    </row>
    <row r="7" spans="2:8" x14ac:dyDescent="0.2">
      <c r="B7" s="21" t="s">
        <v>6</v>
      </c>
      <c r="C7" s="36">
        <f>629/(C43+C44)</f>
        <v>3.8223140495867766E-2</v>
      </c>
      <c r="D7" s="5"/>
      <c r="E7" s="5" t="s">
        <v>7</v>
      </c>
      <c r="F7" s="48">
        <f>152.99*454.3</f>
        <v>69503.357000000004</v>
      </c>
      <c r="G7" s="5"/>
      <c r="H7" s="5"/>
    </row>
    <row r="8" spans="2:8" x14ac:dyDescent="0.2">
      <c r="B8" s="21" t="s">
        <v>8</v>
      </c>
      <c r="C8" s="33">
        <f>1062/4767</f>
        <v>0.22278162366268092</v>
      </c>
      <c r="D8" s="5"/>
      <c r="E8" s="5" t="s">
        <v>9</v>
      </c>
      <c r="F8" s="37">
        <f>C43+C44</f>
        <v>16456</v>
      </c>
      <c r="G8" s="5"/>
      <c r="H8" s="5"/>
    </row>
    <row r="9" spans="2:8" x14ac:dyDescent="0.2">
      <c r="B9" s="21" t="s">
        <v>10</v>
      </c>
      <c r="C9" s="39">
        <v>5.2699999999999997E-2</v>
      </c>
      <c r="D9" s="5"/>
      <c r="E9" s="5"/>
      <c r="F9" s="5"/>
      <c r="G9" s="5"/>
      <c r="H9" s="5"/>
    </row>
    <row r="10" spans="2:8" x14ac:dyDescent="0.2">
      <c r="B10" s="5"/>
      <c r="C10" s="5"/>
      <c r="D10" s="5"/>
      <c r="E10" s="5"/>
      <c r="F10" s="5"/>
      <c r="G10" s="5"/>
      <c r="H10" s="5"/>
    </row>
    <row r="11" spans="2:8" x14ac:dyDescent="0.2">
      <c r="B11" s="5"/>
      <c r="C11" s="5"/>
      <c r="D11" s="5"/>
      <c r="E11" s="5"/>
      <c r="F11" s="5"/>
      <c r="G11" s="5"/>
      <c r="H11" s="5"/>
    </row>
    <row r="12" spans="2:8" x14ac:dyDescent="0.2">
      <c r="B12" s="22" t="s">
        <v>11</v>
      </c>
      <c r="C12" s="23">
        <v>0</v>
      </c>
      <c r="D12" s="23">
        <v>1</v>
      </c>
      <c r="E12" s="23">
        <v>2</v>
      </c>
      <c r="F12" s="23">
        <v>3</v>
      </c>
      <c r="G12" s="23">
        <v>4</v>
      </c>
      <c r="H12" s="23">
        <v>5</v>
      </c>
    </row>
    <row r="13" spans="2:8" x14ac:dyDescent="0.2">
      <c r="B13" s="5"/>
      <c r="C13" s="5"/>
      <c r="D13" s="5"/>
      <c r="E13" s="5"/>
      <c r="F13" s="5"/>
      <c r="G13" s="5"/>
      <c r="H13" s="5"/>
    </row>
    <row r="14" spans="2:8" x14ac:dyDescent="0.2">
      <c r="B14" s="24" t="s">
        <v>12</v>
      </c>
      <c r="C14" s="5"/>
      <c r="D14" s="5"/>
      <c r="E14" s="5"/>
      <c r="F14" s="5"/>
      <c r="G14" s="5"/>
      <c r="H14" s="5"/>
    </row>
    <row r="15" spans="2:8" x14ac:dyDescent="0.2">
      <c r="B15" s="5" t="s">
        <v>13</v>
      </c>
      <c r="C15" s="27">
        <v>5117</v>
      </c>
      <c r="D15" s="28">
        <f>C15*(1+$C$5)</f>
        <v>5244.9249999999993</v>
      </c>
      <c r="E15" s="28">
        <f>D15*(1+$C$5)</f>
        <v>5376.0481249999984</v>
      </c>
      <c r="F15" s="28">
        <f>E15*(1+$C$5)</f>
        <v>5510.4493281249979</v>
      </c>
      <c r="G15" s="28">
        <f>F15*(1+$C$5)</f>
        <v>5648.2105613281228</v>
      </c>
      <c r="H15" s="28">
        <f>G15*(1+$C$5)</f>
        <v>5789.415825361325</v>
      </c>
    </row>
    <row r="16" spans="2:8" x14ac:dyDescent="0.2">
      <c r="B16" s="5" t="s">
        <v>14</v>
      </c>
      <c r="C16" s="40">
        <f t="shared" ref="C16:H16" si="0">C15*$C$8</f>
        <v>1139.9735682819382</v>
      </c>
      <c r="D16" s="40">
        <f t="shared" si="0"/>
        <v>1168.4729074889865</v>
      </c>
      <c r="E16" s="40">
        <f t="shared" si="0"/>
        <v>1197.6847301762111</v>
      </c>
      <c r="F16" s="40">
        <f t="shared" si="0"/>
        <v>1227.6268484306163</v>
      </c>
      <c r="G16" s="40">
        <f t="shared" si="0"/>
        <v>1258.3175196413815</v>
      </c>
      <c r="H16" s="40">
        <f t="shared" si="0"/>
        <v>1289.775457632416</v>
      </c>
    </row>
    <row r="17" spans="2:8" x14ac:dyDescent="0.2">
      <c r="B17" s="5" t="s">
        <v>15</v>
      </c>
      <c r="C17" s="27">
        <v>3134</v>
      </c>
      <c r="D17" s="28">
        <f t="shared" ref="D17:H19" si="1">C17*(1+$C$5)</f>
        <v>3212.35</v>
      </c>
      <c r="E17" s="28">
        <f t="shared" si="1"/>
        <v>3292.6587499999996</v>
      </c>
      <c r="F17" s="28">
        <f t="shared" si="1"/>
        <v>3374.9752187499994</v>
      </c>
      <c r="G17" s="28">
        <f t="shared" si="1"/>
        <v>3459.3495992187491</v>
      </c>
      <c r="H17" s="28">
        <f t="shared" si="1"/>
        <v>3545.8333391992173</v>
      </c>
    </row>
    <row r="18" spans="2:8" x14ac:dyDescent="0.2">
      <c r="B18" s="5" t="s">
        <v>16</v>
      </c>
      <c r="C18" s="27">
        <v>3727</v>
      </c>
      <c r="D18" s="28">
        <f t="shared" si="1"/>
        <v>3820.1749999999997</v>
      </c>
      <c r="E18" s="28">
        <f t="shared" si="1"/>
        <v>3915.6793749999993</v>
      </c>
      <c r="F18" s="28">
        <f t="shared" si="1"/>
        <v>4013.5713593749988</v>
      </c>
      <c r="G18" s="28">
        <f t="shared" si="1"/>
        <v>4113.9106433593734</v>
      </c>
      <c r="H18" s="28">
        <f t="shared" si="1"/>
        <v>4216.7584094433569</v>
      </c>
    </row>
    <row r="19" spans="2:8" x14ac:dyDescent="0.2">
      <c r="B19" s="6" t="s">
        <v>17</v>
      </c>
      <c r="C19" s="29">
        <f>436-494-501+156</f>
        <v>-403</v>
      </c>
      <c r="D19" s="41">
        <f t="shared" si="1"/>
        <v>-413.07499999999999</v>
      </c>
      <c r="E19" s="41">
        <f t="shared" si="1"/>
        <v>-423.40187499999996</v>
      </c>
      <c r="F19" s="41">
        <f t="shared" si="1"/>
        <v>-433.98692187499995</v>
      </c>
      <c r="G19" s="41">
        <f t="shared" si="1"/>
        <v>-444.83659492187491</v>
      </c>
      <c r="H19" s="41">
        <f t="shared" si="1"/>
        <v>-455.95750979492175</v>
      </c>
    </row>
    <row r="20" spans="2:8" x14ac:dyDescent="0.2">
      <c r="B20" s="9" t="s">
        <v>18</v>
      </c>
      <c r="C20" s="40">
        <f t="shared" ref="C20:H20" si="2">C15-C16+C17-C18+C19</f>
        <v>2981.0264317180618</v>
      </c>
      <c r="D20" s="40">
        <f t="shared" si="2"/>
        <v>3055.5520925110127</v>
      </c>
      <c r="E20" s="40">
        <f t="shared" si="2"/>
        <v>3131.9408948237879</v>
      </c>
      <c r="F20" s="40">
        <f t="shared" si="2"/>
        <v>3210.2394171943824</v>
      </c>
      <c r="G20" s="40">
        <f t="shared" si="2"/>
        <v>3290.4954026242422</v>
      </c>
      <c r="H20" s="40">
        <f t="shared" si="2"/>
        <v>3372.7577876898476</v>
      </c>
    </row>
    <row r="21" spans="2:8" x14ac:dyDescent="0.2">
      <c r="B21" s="5"/>
      <c r="C21" s="5"/>
      <c r="D21" s="5"/>
      <c r="E21" s="5"/>
      <c r="F21" s="5"/>
      <c r="G21" s="5"/>
      <c r="H21" s="5"/>
    </row>
    <row r="22" spans="2:8" x14ac:dyDescent="0.2">
      <c r="B22" s="24" t="s">
        <v>19</v>
      </c>
      <c r="C22" s="10"/>
      <c r="D22" s="5"/>
      <c r="E22" s="5"/>
      <c r="F22" s="5"/>
      <c r="G22" s="5"/>
      <c r="H22" s="5"/>
    </row>
    <row r="23" spans="2:8" x14ac:dyDescent="0.2">
      <c r="B23" s="5" t="s">
        <v>20</v>
      </c>
      <c r="C23" s="42">
        <f>C9+F5*(F6-C9)</f>
        <v>9.9054000000000003E-2</v>
      </c>
      <c r="D23" s="5"/>
      <c r="E23" s="5"/>
      <c r="F23" s="5"/>
      <c r="G23" s="5"/>
      <c r="H23" s="5"/>
    </row>
    <row r="24" spans="2:8" x14ac:dyDescent="0.2">
      <c r="B24" s="5" t="s">
        <v>21</v>
      </c>
      <c r="C24" s="42">
        <f>F8/(F7+F8)</f>
        <v>0.19143931009162854</v>
      </c>
      <c r="D24" s="5"/>
      <c r="E24" s="5"/>
      <c r="F24" s="5"/>
      <c r="G24" s="5"/>
      <c r="H24" s="5"/>
    </row>
    <row r="25" spans="2:8" x14ac:dyDescent="0.2">
      <c r="B25" s="6" t="s">
        <v>22</v>
      </c>
      <c r="C25" s="43">
        <f>F7/(F7+F8)</f>
        <v>0.80856068990837149</v>
      </c>
      <c r="D25" s="5"/>
      <c r="E25" s="5"/>
      <c r="F25" s="5"/>
      <c r="G25" s="5"/>
      <c r="H25" s="5"/>
    </row>
    <row r="26" spans="2:8" x14ac:dyDescent="0.2">
      <c r="B26" s="9" t="s">
        <v>19</v>
      </c>
      <c r="C26" s="42">
        <f>C25*C23+C24*C7*(1-C8)</f>
        <v>8.5778397376729737E-2</v>
      </c>
      <c r="D26" s="5"/>
      <c r="E26" s="5"/>
      <c r="F26" s="5"/>
      <c r="G26" s="5"/>
      <c r="H26" s="5"/>
    </row>
    <row r="27" spans="2:8" x14ac:dyDescent="0.2">
      <c r="B27" s="5"/>
      <c r="C27" s="5"/>
      <c r="D27" s="5"/>
      <c r="E27" s="5"/>
      <c r="F27" s="5"/>
      <c r="G27" s="5"/>
      <c r="H27" s="5"/>
    </row>
    <row r="28" spans="2:8" x14ac:dyDescent="0.2">
      <c r="B28" s="24" t="s">
        <v>23</v>
      </c>
      <c r="C28" s="25"/>
      <c r="D28" s="25"/>
      <c r="E28" s="25"/>
      <c r="F28" s="25"/>
      <c r="G28" s="25"/>
      <c r="H28" s="25"/>
    </row>
    <row r="29" spans="2:8" x14ac:dyDescent="0.2">
      <c r="B29" s="5" t="s">
        <v>24</v>
      </c>
      <c r="C29" s="5"/>
      <c r="D29" s="5"/>
      <c r="E29" s="5"/>
      <c r="F29" s="5"/>
      <c r="G29" s="5"/>
      <c r="H29" s="40">
        <f>H15+H17</f>
        <v>9335.2491645605423</v>
      </c>
    </row>
    <row r="30" spans="2:8" x14ac:dyDescent="0.2">
      <c r="B30" s="5" t="s">
        <v>25</v>
      </c>
      <c r="C30" s="5"/>
      <c r="D30" s="5"/>
      <c r="E30" s="5"/>
      <c r="F30" s="5"/>
      <c r="G30" s="5"/>
      <c r="H30" s="40">
        <f>H29*C6</f>
        <v>93352.49164560542</v>
      </c>
    </row>
    <row r="31" spans="2:8" x14ac:dyDescent="0.2">
      <c r="B31" s="6" t="s">
        <v>26</v>
      </c>
      <c r="C31" s="6"/>
      <c r="D31" s="6"/>
      <c r="E31" s="6"/>
      <c r="F31" s="6"/>
      <c r="G31" s="6"/>
      <c r="H31" s="44">
        <f>H20*(1+C5)/(C26-C5)</f>
        <v>56880.024508604547</v>
      </c>
    </row>
    <row r="32" spans="2:8" x14ac:dyDescent="0.2">
      <c r="B32" s="9" t="s">
        <v>27</v>
      </c>
      <c r="C32" s="5"/>
      <c r="D32" s="5"/>
      <c r="E32" s="5"/>
      <c r="F32" s="5"/>
      <c r="G32" s="5"/>
      <c r="H32" s="40">
        <f>AVERAGE(H30:H31)</f>
        <v>75116.258077104983</v>
      </c>
    </row>
    <row r="33" spans="2:8" x14ac:dyDescent="0.2">
      <c r="B33" s="5"/>
      <c r="C33" s="5"/>
      <c r="D33" s="5"/>
      <c r="E33" s="5"/>
      <c r="F33" s="5"/>
      <c r="G33" s="5"/>
      <c r="H33" s="5"/>
    </row>
    <row r="34" spans="2:8" x14ac:dyDescent="0.2">
      <c r="B34" s="24" t="s">
        <v>28</v>
      </c>
      <c r="C34" s="23">
        <v>0</v>
      </c>
      <c r="D34" s="23">
        <v>1</v>
      </c>
      <c r="E34" s="23">
        <v>2</v>
      </c>
      <c r="F34" s="23">
        <v>3</v>
      </c>
      <c r="G34" s="23">
        <v>4</v>
      </c>
      <c r="H34" s="23">
        <v>5</v>
      </c>
    </row>
    <row r="35" spans="2:8" x14ac:dyDescent="0.2">
      <c r="B35" s="5" t="s">
        <v>29</v>
      </c>
      <c r="C35" s="45">
        <f t="shared" ref="C35:H35" si="3">1/(1+$C$26)^C34</f>
        <v>1</v>
      </c>
      <c r="D35" s="45">
        <f t="shared" si="3"/>
        <v>0.92099824643410422</v>
      </c>
      <c r="E35" s="45">
        <f t="shared" si="3"/>
        <v>0.84823776993469502</v>
      </c>
      <c r="F35" s="45">
        <f t="shared" si="3"/>
        <v>0.78122549866902924</v>
      </c>
      <c r="G35" s="45">
        <f t="shared" si="3"/>
        <v>0.71950731434378457</v>
      </c>
      <c r="H35" s="45">
        <f t="shared" si="3"/>
        <v>0.66266497480713737</v>
      </c>
    </row>
    <row r="36" spans="2:8" x14ac:dyDescent="0.2">
      <c r="B36" s="5" t="s">
        <v>30</v>
      </c>
      <c r="C36" s="26"/>
      <c r="D36" s="40">
        <f>D20*D35</f>
        <v>2814.1581190907004</v>
      </c>
      <c r="E36" s="40">
        <f>E20*E35</f>
        <v>2656.6305601926028</v>
      </c>
      <c r="F36" s="40">
        <f>F20*F35</f>
        <v>2507.9208895446554</v>
      </c>
      <c r="G36" s="40">
        <f>G20*G35</f>
        <v>2367.5355100027386</v>
      </c>
      <c r="H36" s="40">
        <f>H20*H35</f>
        <v>2235.0084544100691</v>
      </c>
    </row>
    <row r="37" spans="2:8" x14ac:dyDescent="0.2">
      <c r="B37" s="6" t="s">
        <v>31</v>
      </c>
      <c r="C37" s="6"/>
      <c r="D37" s="5"/>
      <c r="E37" s="5"/>
      <c r="F37" s="5"/>
      <c r="G37" s="5"/>
      <c r="H37" s="40">
        <f>H32*H35</f>
        <v>49776.9132662712</v>
      </c>
    </row>
    <row r="38" spans="2:8" x14ac:dyDescent="0.2">
      <c r="B38" s="9" t="s">
        <v>32</v>
      </c>
      <c r="C38" s="40">
        <f>SUM(D36:H36)+H37</f>
        <v>62358.166799511964</v>
      </c>
      <c r="D38" s="5"/>
      <c r="E38" s="5"/>
      <c r="F38" s="5"/>
      <c r="G38" s="5"/>
      <c r="H38" s="5"/>
    </row>
    <row r="39" spans="2:8" x14ac:dyDescent="0.2">
      <c r="B39" s="5"/>
      <c r="C39" s="5"/>
      <c r="D39" s="5"/>
      <c r="E39" s="5"/>
      <c r="F39" s="5"/>
      <c r="G39" s="5"/>
      <c r="H39" s="5"/>
    </row>
    <row r="40" spans="2:8" x14ac:dyDescent="0.2">
      <c r="B40" s="24" t="s">
        <v>33</v>
      </c>
      <c r="C40" s="5"/>
      <c r="D40" s="5"/>
      <c r="E40" s="5"/>
      <c r="F40" s="5"/>
      <c r="G40" s="5"/>
      <c r="H40" s="5"/>
    </row>
    <row r="41" spans="2:8" x14ac:dyDescent="0.2">
      <c r="B41" s="5" t="s">
        <v>34</v>
      </c>
      <c r="C41" s="27">
        <f>250+627</f>
        <v>877</v>
      </c>
      <c r="D41" s="5"/>
      <c r="E41" s="5"/>
      <c r="F41" s="5"/>
      <c r="G41" s="5"/>
      <c r="H41" s="5"/>
    </row>
    <row r="42" spans="2:8" x14ac:dyDescent="0.2">
      <c r="B42" s="5" t="s">
        <v>35</v>
      </c>
      <c r="C42" s="27">
        <v>4611</v>
      </c>
      <c r="D42" s="5"/>
      <c r="E42" s="5"/>
      <c r="F42" s="5"/>
      <c r="G42" s="5"/>
      <c r="H42" s="5"/>
    </row>
    <row r="43" spans="2:8" x14ac:dyDescent="0.2">
      <c r="B43" s="5" t="s">
        <v>36</v>
      </c>
      <c r="C43" s="27">
        <v>2130</v>
      </c>
      <c r="D43" s="5"/>
      <c r="E43" s="5"/>
      <c r="F43" s="5"/>
      <c r="G43" s="5"/>
      <c r="H43" s="5"/>
    </row>
    <row r="44" spans="2:8" x14ac:dyDescent="0.2">
      <c r="B44" s="6" t="s">
        <v>37</v>
      </c>
      <c r="C44" s="29">
        <v>14326</v>
      </c>
      <c r="D44" s="5"/>
      <c r="E44" s="5"/>
      <c r="F44" s="5"/>
      <c r="G44" s="5"/>
      <c r="H44" s="5"/>
    </row>
    <row r="45" spans="2:8" x14ac:dyDescent="0.2">
      <c r="B45" s="9" t="s">
        <v>7</v>
      </c>
      <c r="C45" s="40">
        <f>C38+C41+C42-C43-C44</f>
        <v>51390.166799511964</v>
      </c>
      <c r="D45" s="5"/>
      <c r="E45" s="5"/>
      <c r="F45" s="5"/>
      <c r="G45" s="5"/>
      <c r="H45" s="5"/>
    </row>
    <row r="46" spans="2:8" x14ac:dyDescent="0.2">
      <c r="B46" s="5"/>
      <c r="C46" s="5"/>
      <c r="D46" s="5"/>
      <c r="E46" s="5"/>
      <c r="F46" s="5"/>
      <c r="G46" s="5"/>
      <c r="H46" s="5"/>
    </row>
    <row r="47" spans="2:8" x14ac:dyDescent="0.2">
      <c r="B47" s="6" t="s">
        <v>38</v>
      </c>
      <c r="C47" s="46">
        <v>454.3</v>
      </c>
      <c r="D47" s="5"/>
      <c r="E47" s="5"/>
      <c r="F47" s="5"/>
      <c r="G47" s="5"/>
      <c r="H47" s="5"/>
    </row>
    <row r="48" spans="2:8" x14ac:dyDescent="0.2">
      <c r="B48" s="9" t="s">
        <v>39</v>
      </c>
      <c r="C48" s="47">
        <f>C45/C47</f>
        <v>113.11945146271619</v>
      </c>
      <c r="D48" s="5"/>
      <c r="E48" s="5"/>
      <c r="F48" s="5"/>
      <c r="G48" s="5"/>
      <c r="H48" s="5"/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66"/>
  <sheetViews>
    <sheetView showGridLines="0" topLeftCell="A35" workbookViewId="0">
      <selection activeCell="J5" sqref="J5"/>
    </sheetView>
  </sheetViews>
  <sheetFormatPr baseColWidth="10" defaultColWidth="8.83203125" defaultRowHeight="16" x14ac:dyDescent="0.2"/>
  <cols>
    <col min="2" max="2" width="30.5" customWidth="1"/>
    <col min="5" max="5" width="12.6640625" customWidth="1"/>
    <col min="8" max="8" width="14" customWidth="1"/>
  </cols>
  <sheetData>
    <row r="2" spans="2:8" x14ac:dyDescent="0.2">
      <c r="B2" s="3" t="s">
        <v>60</v>
      </c>
      <c r="C2" s="11"/>
      <c r="D2" s="11"/>
      <c r="E2" s="11"/>
      <c r="F2" s="11"/>
      <c r="G2" s="11"/>
      <c r="H2" s="4"/>
    </row>
    <row r="3" spans="2:8" x14ac:dyDescent="0.2">
      <c r="B3" s="5"/>
      <c r="C3" s="5"/>
      <c r="D3" s="5"/>
      <c r="E3" s="5"/>
      <c r="F3" s="5"/>
      <c r="G3" s="5"/>
      <c r="H3" s="5"/>
    </row>
    <row r="4" spans="2:8" x14ac:dyDescent="0.2">
      <c r="B4" s="22" t="s">
        <v>61</v>
      </c>
      <c r="C4" s="25" t="s">
        <v>62</v>
      </c>
      <c r="D4" s="25" t="s">
        <v>63</v>
      </c>
      <c r="E4" s="25" t="s">
        <v>64</v>
      </c>
      <c r="F4" s="25" t="s">
        <v>65</v>
      </c>
      <c r="G4" s="25" t="s">
        <v>66</v>
      </c>
      <c r="H4" s="25" t="s">
        <v>67</v>
      </c>
    </row>
    <row r="5" spans="2:8" x14ac:dyDescent="0.2">
      <c r="B5" s="5" t="s">
        <v>68</v>
      </c>
      <c r="C5" s="27">
        <v>106005</v>
      </c>
      <c r="D5" s="27">
        <v>109120</v>
      </c>
      <c r="E5" s="27">
        <v>107412</v>
      </c>
      <c r="F5" s="27">
        <v>106566</v>
      </c>
      <c r="G5" s="27">
        <v>104780</v>
      </c>
      <c r="H5" s="5"/>
    </row>
    <row r="6" spans="2:8" x14ac:dyDescent="0.2">
      <c r="B6" s="5" t="s">
        <v>13</v>
      </c>
      <c r="C6" s="27">
        <v>8946</v>
      </c>
      <c r="D6" s="27">
        <v>3848</v>
      </c>
      <c r="E6" s="27">
        <v>5707</v>
      </c>
      <c r="F6" s="27">
        <v>5566</v>
      </c>
      <c r="G6" s="27">
        <v>5117</v>
      </c>
      <c r="H6" s="5"/>
    </row>
    <row r="7" spans="2:8" x14ac:dyDescent="0.2">
      <c r="B7" s="5" t="s">
        <v>15</v>
      </c>
      <c r="C7" s="27">
        <v>2642</v>
      </c>
      <c r="D7" s="27">
        <v>2700</v>
      </c>
      <c r="E7" s="27">
        <v>2801</v>
      </c>
      <c r="F7" s="27">
        <v>2981</v>
      </c>
      <c r="G7" s="27">
        <v>3134</v>
      </c>
      <c r="H7" s="5"/>
    </row>
    <row r="8" spans="2:8" x14ac:dyDescent="0.2">
      <c r="B8" s="5" t="s">
        <v>16</v>
      </c>
      <c r="C8" s="27">
        <v>3544</v>
      </c>
      <c r="D8" s="27">
        <v>5528</v>
      </c>
      <c r="E8" s="27">
        <v>4806</v>
      </c>
      <c r="F8" s="27">
        <v>2891</v>
      </c>
      <c r="G8" s="27">
        <v>3727</v>
      </c>
      <c r="H8" s="5"/>
    </row>
    <row r="9" spans="2:8" x14ac:dyDescent="0.2">
      <c r="B9" s="5" t="s">
        <v>17</v>
      </c>
      <c r="C9" s="27">
        <f>-3249-78+2628-746</f>
        <v>-1445</v>
      </c>
      <c r="D9" s="27">
        <f>403+22-2237-624</f>
        <v>-2436</v>
      </c>
      <c r="E9" s="27">
        <f>1613-85-1216+727</f>
        <v>1039</v>
      </c>
      <c r="F9" s="27">
        <f>-854-308+1008+299</f>
        <v>145</v>
      </c>
      <c r="G9" s="27">
        <f>436-494-501+156</f>
        <v>-403</v>
      </c>
      <c r="H9" s="5"/>
    </row>
    <row r="10" spans="2:8" x14ac:dyDescent="0.2">
      <c r="B10" s="5" t="s">
        <v>69</v>
      </c>
      <c r="C10" s="27">
        <v>8907</v>
      </c>
      <c r="D10" s="27">
        <v>3418</v>
      </c>
      <c r="E10" s="27">
        <v>5297</v>
      </c>
      <c r="F10" s="27">
        <v>5261</v>
      </c>
      <c r="G10" s="27">
        <v>4767</v>
      </c>
      <c r="H10" s="5"/>
    </row>
    <row r="11" spans="2:8" x14ac:dyDescent="0.2">
      <c r="B11" s="6" t="s">
        <v>70</v>
      </c>
      <c r="C11" s="29">
        <v>1961</v>
      </c>
      <c r="D11" s="29">
        <v>638</v>
      </c>
      <c r="E11" s="29">
        <v>1159</v>
      </c>
      <c r="F11" s="29">
        <v>1170</v>
      </c>
      <c r="G11" s="29">
        <v>1062</v>
      </c>
      <c r="H11" s="6"/>
    </row>
    <row r="12" spans="2:8" x14ac:dyDescent="0.2">
      <c r="B12" s="5"/>
      <c r="C12" s="5"/>
      <c r="D12" s="5"/>
      <c r="E12" s="5"/>
      <c r="F12" s="5"/>
      <c r="G12" s="5"/>
      <c r="H12" s="5"/>
    </row>
    <row r="13" spans="2:8" x14ac:dyDescent="0.2">
      <c r="B13" s="24" t="s">
        <v>71</v>
      </c>
      <c r="C13" s="5"/>
      <c r="D13" s="5"/>
      <c r="E13" s="5"/>
      <c r="F13" s="5"/>
      <c r="G13" s="5"/>
      <c r="H13" s="5"/>
    </row>
    <row r="14" spans="2:8" x14ac:dyDescent="0.2">
      <c r="B14" s="5" t="s">
        <v>72</v>
      </c>
      <c r="C14" s="26"/>
      <c r="D14" s="30">
        <f>D5/C5-1</f>
        <v>2.9385406348757082E-2</v>
      </c>
      <c r="E14" s="30">
        <f>E5/D5-1</f>
        <v>-1.5652492668621676E-2</v>
      </c>
      <c r="F14" s="30">
        <f>F5/E5-1</f>
        <v>-7.876214948050464E-3</v>
      </c>
      <c r="G14" s="30">
        <f>G5/F5-1</f>
        <v>-1.6759566841206386E-2</v>
      </c>
      <c r="H14" s="30">
        <f>(G5/C5)^(1/4)-1</f>
        <v>-2.9016193492337194E-3</v>
      </c>
    </row>
    <row r="15" spans="2:8" x14ac:dyDescent="0.2">
      <c r="B15" s="5" t="s">
        <v>73</v>
      </c>
      <c r="C15" s="30">
        <f>C6/C5</f>
        <v>8.4392245648790151E-2</v>
      </c>
      <c r="D15" s="30">
        <f>D6/D5</f>
        <v>3.5263929618768328E-2</v>
      </c>
      <c r="E15" s="30">
        <f>E6/E5</f>
        <v>5.3131866085725989E-2</v>
      </c>
      <c r="F15" s="30">
        <f>F6/F5</f>
        <v>5.2230542574554735E-2</v>
      </c>
      <c r="G15" s="30">
        <f>G6/G5</f>
        <v>4.8835655659476999E-2</v>
      </c>
      <c r="H15" s="30">
        <f>AVERAGE(C15:G15)</f>
        <v>5.4770847917463242E-2</v>
      </c>
    </row>
    <row r="16" spans="2:8" x14ac:dyDescent="0.2">
      <c r="B16" s="5" t="s">
        <v>74</v>
      </c>
      <c r="C16" s="30">
        <f>C7/C5</f>
        <v>2.4923352672043771E-2</v>
      </c>
      <c r="D16" s="30">
        <f>D7/D5</f>
        <v>2.4743401759530791E-2</v>
      </c>
      <c r="E16" s="30">
        <f>E7/E5</f>
        <v>2.6077160838640003E-2</v>
      </c>
      <c r="F16" s="30">
        <f>F7/F5</f>
        <v>2.7973274778071804E-2</v>
      </c>
      <c r="G16" s="30">
        <f>G7/G5</f>
        <v>2.991028822294331E-2</v>
      </c>
      <c r="H16" s="30">
        <f>AVERAGE(C16:G16)</f>
        <v>2.6725495654245934E-2</v>
      </c>
    </row>
    <row r="17" spans="2:8" x14ac:dyDescent="0.2">
      <c r="B17" s="5" t="s">
        <v>75</v>
      </c>
      <c r="C17" s="30">
        <f>C8/C5</f>
        <v>3.3432385264846001E-2</v>
      </c>
      <c r="D17" s="30">
        <f>D8/D5</f>
        <v>5.0659824046920821E-2</v>
      </c>
      <c r="E17" s="30">
        <f>E8/E5</f>
        <v>4.4743604066584737E-2</v>
      </c>
      <c r="F17" s="30">
        <f>F8/F5</f>
        <v>2.7128727736801608E-2</v>
      </c>
      <c r="G17" s="30">
        <f>G8/G5</f>
        <v>3.5569765222370681E-2</v>
      </c>
      <c r="H17" s="30">
        <f>AVERAGE(C17:G17)</f>
        <v>3.8306861267504773E-2</v>
      </c>
    </row>
    <row r="18" spans="2:8" x14ac:dyDescent="0.2">
      <c r="B18" s="5" t="s">
        <v>76</v>
      </c>
      <c r="C18" s="30">
        <f>C9/C5</f>
        <v>-1.3631432479600018E-2</v>
      </c>
      <c r="D18" s="30">
        <f>D9/D5</f>
        <v>-2.2324046920821114E-2</v>
      </c>
      <c r="E18" s="30">
        <f>E9/E5</f>
        <v>9.6730346702416856E-3</v>
      </c>
      <c r="F18" s="30">
        <f>F9/F5</f>
        <v>1.3606591220464313E-3</v>
      </c>
      <c r="G18" s="30">
        <f>G9/G5</f>
        <v>-3.8461538461538464E-3</v>
      </c>
      <c r="H18" s="30">
        <f>AVERAGE(C18:G18)</f>
        <v>-5.7535878908573724E-3</v>
      </c>
    </row>
    <row r="19" spans="2:8" x14ac:dyDescent="0.2">
      <c r="B19" s="6" t="s">
        <v>77</v>
      </c>
      <c r="C19" s="31">
        <f>C11/C10</f>
        <v>0.22016391602110699</v>
      </c>
      <c r="D19" s="32">
        <f>D11/D10</f>
        <v>0.18665886483323582</v>
      </c>
      <c r="E19" s="32">
        <f>E11/E10</f>
        <v>0.21880309609212761</v>
      </c>
      <c r="F19" s="32">
        <f>F11/F10</f>
        <v>0.22239118038395742</v>
      </c>
      <c r="G19" s="32">
        <f>G11/G10</f>
        <v>0.22278162366268092</v>
      </c>
      <c r="H19" s="32">
        <f>AVERAGE(C19:G19)</f>
        <v>0.21415973619862175</v>
      </c>
    </row>
    <row r="20" spans="2:8" x14ac:dyDescent="0.2">
      <c r="B20" s="5"/>
      <c r="C20" s="5"/>
      <c r="D20" s="5"/>
      <c r="E20" s="5"/>
      <c r="F20" s="5"/>
      <c r="G20" s="5"/>
      <c r="H20" s="5"/>
    </row>
    <row r="21" spans="2:8" x14ac:dyDescent="0.2">
      <c r="B21" s="20" t="s">
        <v>1</v>
      </c>
      <c r="C21" s="6"/>
      <c r="D21" s="5"/>
      <c r="E21" s="6" t="s">
        <v>1</v>
      </c>
      <c r="F21" s="6"/>
      <c r="G21" s="5"/>
      <c r="H21" s="5"/>
    </row>
    <row r="22" spans="2:8" x14ac:dyDescent="0.2">
      <c r="B22" s="21" t="s">
        <v>2</v>
      </c>
      <c r="C22" s="33">
        <v>2.5000000000000001E-2</v>
      </c>
      <c r="D22" s="5"/>
      <c r="E22" s="5" t="s">
        <v>3</v>
      </c>
      <c r="F22" s="34">
        <v>0.98</v>
      </c>
      <c r="G22" s="5"/>
      <c r="H22" s="5"/>
    </row>
    <row r="23" spans="2:8" x14ac:dyDescent="0.2">
      <c r="B23" s="21" t="s">
        <v>4</v>
      </c>
      <c r="C23" s="35">
        <v>10</v>
      </c>
      <c r="D23" s="5"/>
      <c r="E23" s="5" t="s">
        <v>5</v>
      </c>
      <c r="F23" s="33">
        <v>0.1</v>
      </c>
      <c r="G23" s="5"/>
      <c r="H23" s="5"/>
    </row>
    <row r="24" spans="2:8" x14ac:dyDescent="0.2">
      <c r="B24" s="21" t="s">
        <v>6</v>
      </c>
      <c r="C24" s="36">
        <f>629/(C61+C62)</f>
        <v>3.8223140495867766E-2</v>
      </c>
      <c r="D24" s="5"/>
      <c r="E24" s="5" t="s">
        <v>7</v>
      </c>
      <c r="F24" s="48">
        <f>152.99*454.3</f>
        <v>69503.357000000004</v>
      </c>
      <c r="G24" s="5"/>
      <c r="H24" s="5"/>
    </row>
    <row r="25" spans="2:8" x14ac:dyDescent="0.2">
      <c r="B25" s="21" t="s">
        <v>8</v>
      </c>
      <c r="C25" s="38">
        <f>H19</f>
        <v>0.21415973619862175</v>
      </c>
      <c r="D25" s="5"/>
      <c r="E25" s="5" t="s">
        <v>9</v>
      </c>
      <c r="F25" s="37">
        <f>C61+C62</f>
        <v>16456</v>
      </c>
      <c r="G25" s="5"/>
      <c r="H25" s="5"/>
    </row>
    <row r="26" spans="2:8" x14ac:dyDescent="0.2">
      <c r="B26" s="21" t="s">
        <v>10</v>
      </c>
      <c r="C26" s="39">
        <v>5.2699999999999997E-2</v>
      </c>
      <c r="D26" s="5"/>
      <c r="E26" s="5"/>
      <c r="F26" s="5"/>
      <c r="G26" s="5"/>
      <c r="H26" s="5"/>
    </row>
    <row r="27" spans="2:8" x14ac:dyDescent="0.2">
      <c r="B27" s="5"/>
      <c r="C27" s="5"/>
      <c r="D27" s="5"/>
      <c r="E27" s="5"/>
      <c r="F27" s="5"/>
      <c r="G27" s="5"/>
      <c r="H27" s="5"/>
    </row>
    <row r="28" spans="2:8" x14ac:dyDescent="0.2">
      <c r="B28" s="5"/>
      <c r="C28" s="5"/>
      <c r="D28" s="5"/>
      <c r="E28" s="5"/>
      <c r="F28" s="5"/>
      <c r="G28" s="5"/>
      <c r="H28" s="5"/>
    </row>
    <row r="29" spans="2:8" x14ac:dyDescent="0.2">
      <c r="B29" s="22" t="s">
        <v>11</v>
      </c>
      <c r="C29" s="23">
        <v>0</v>
      </c>
      <c r="D29" s="23">
        <v>1</v>
      </c>
      <c r="E29" s="23">
        <v>2</v>
      </c>
      <c r="F29" s="23">
        <v>3</v>
      </c>
      <c r="G29" s="23">
        <v>4</v>
      </c>
      <c r="H29" s="23">
        <v>5</v>
      </c>
    </row>
    <row r="30" spans="2:8" x14ac:dyDescent="0.2">
      <c r="B30" s="5"/>
      <c r="C30" s="5"/>
      <c r="D30" s="5"/>
      <c r="E30" s="5"/>
      <c r="F30" s="5"/>
      <c r="G30" s="5"/>
      <c r="H30" s="5"/>
    </row>
    <row r="31" spans="2:8" x14ac:dyDescent="0.2">
      <c r="B31" s="24" t="s">
        <v>12</v>
      </c>
      <c r="C31" s="5"/>
      <c r="D31" s="5"/>
      <c r="E31" s="5"/>
      <c r="F31" s="5"/>
      <c r="G31" s="5"/>
      <c r="H31" s="5"/>
    </row>
    <row r="32" spans="2:8" x14ac:dyDescent="0.2">
      <c r="B32" s="5" t="s">
        <v>68</v>
      </c>
      <c r="C32" s="28">
        <f>G5</f>
        <v>104780</v>
      </c>
      <c r="D32" s="28">
        <f>C32*(1+$H$14)</f>
        <v>104475.96832458729</v>
      </c>
      <c r="E32" s="28">
        <f>D32*(1+$H$14)</f>
        <v>104172.81883336673</v>
      </c>
      <c r="F32" s="28">
        <f>E32*(1+$H$14)</f>
        <v>103870.54896657562</v>
      </c>
      <c r="G32" s="28">
        <f>F32*(1+$H$14)</f>
        <v>103569.15617187867</v>
      </c>
      <c r="H32" s="28">
        <f>G32*(1+$H$14)</f>
        <v>103268.63790434654</v>
      </c>
    </row>
    <row r="33" spans="2:8" x14ac:dyDescent="0.2">
      <c r="B33" s="5" t="s">
        <v>13</v>
      </c>
      <c r="C33" s="28">
        <f>G6</f>
        <v>5117</v>
      </c>
      <c r="D33" s="28">
        <f>D32*$H$15</f>
        <v>5722.2373721356771</v>
      </c>
      <c r="E33" s="28">
        <f>E32*$H$15</f>
        <v>5705.63361745578</v>
      </c>
      <c r="F33" s="28">
        <f>F32*$H$15</f>
        <v>5689.0780405517316</v>
      </c>
      <c r="G33" s="28">
        <f>G32*$H$15</f>
        <v>5672.5705016299662</v>
      </c>
      <c r="H33" s="28">
        <f>H32*$H$15</f>
        <v>5656.1108613025444</v>
      </c>
    </row>
    <row r="34" spans="2:8" x14ac:dyDescent="0.2">
      <c r="B34" s="5" t="s">
        <v>14</v>
      </c>
      <c r="C34" s="40">
        <f t="shared" ref="C34:H34" si="0">C33*$C$25</f>
        <v>1095.8553701283474</v>
      </c>
      <c r="D34" s="40">
        <f t="shared" si="0"/>
        <v>1225.4728460824711</v>
      </c>
      <c r="E34" s="40">
        <f t="shared" si="0"/>
        <v>1221.9169903603179</v>
      </c>
      <c r="F34" s="40">
        <f t="shared" si="0"/>
        <v>1218.3714523779308</v>
      </c>
      <c r="G34" s="40">
        <f t="shared" si="0"/>
        <v>1214.836202197157</v>
      </c>
      <c r="H34" s="40">
        <f t="shared" si="0"/>
        <v>1211.3112099667121</v>
      </c>
    </row>
    <row r="35" spans="2:8" x14ac:dyDescent="0.2">
      <c r="B35" s="5" t="s">
        <v>15</v>
      </c>
      <c r="C35" s="28">
        <f>G7</f>
        <v>3134</v>
      </c>
      <c r="D35" s="28">
        <f>D32*$H$16</f>
        <v>2792.1720374318934</v>
      </c>
      <c r="E35" s="28">
        <f>E32*$H$16</f>
        <v>2784.0702170216914</v>
      </c>
      <c r="F35" s="28">
        <f>F32*$H$16</f>
        <v>2775.9919050103563</v>
      </c>
      <c r="G35" s="28">
        <f>G32*$H$16</f>
        <v>2767.9370331854616</v>
      </c>
      <c r="H35" s="28">
        <f>H32*$H$16</f>
        <v>2759.9055335325106</v>
      </c>
    </row>
    <row r="36" spans="2:8" x14ac:dyDescent="0.2">
      <c r="B36" s="5" t="s">
        <v>16</v>
      </c>
      <c r="C36" s="28">
        <f>G8</f>
        <v>3727</v>
      </c>
      <c r="D36" s="28">
        <f>D32*$H$17</f>
        <v>4002.1464243981882</v>
      </c>
      <c r="E36" s="28">
        <f>E32*$H$17</f>
        <v>3990.5337188946878</v>
      </c>
      <c r="F36" s="28">
        <f>F32*$H$17</f>
        <v>3978.9547090421734</v>
      </c>
      <c r="G36" s="28">
        <f>G32*$H$17</f>
        <v>3967.409297068692</v>
      </c>
      <c r="H36" s="28">
        <f>H32*$H$17</f>
        <v>3955.8973854859878</v>
      </c>
    </row>
    <row r="37" spans="2:8" x14ac:dyDescent="0.2">
      <c r="B37" s="6" t="s">
        <v>17</v>
      </c>
      <c r="C37" s="41">
        <f>G9</f>
        <v>-403</v>
      </c>
      <c r="D37" s="41">
        <f>D32*$H$18</f>
        <v>-601.11166623794384</v>
      </c>
      <c r="E37" s="41">
        <f>E32*$H$18</f>
        <v>-599.36746899613763</v>
      </c>
      <c r="F37" s="41">
        <f>F32*$H$18</f>
        <v>-597.6283327507972</v>
      </c>
      <c r="G37" s="41">
        <f>G32*$H$18</f>
        <v>-595.89424281683716</v>
      </c>
      <c r="H37" s="41">
        <f>H32*$H$18</f>
        <v>-594.16518455178289</v>
      </c>
    </row>
    <row r="38" spans="2:8" x14ac:dyDescent="0.2">
      <c r="B38" s="9" t="s">
        <v>18</v>
      </c>
      <c r="C38" s="40">
        <f t="shared" ref="C38:H38" si="1">C33-C34+C35-C36+C37</f>
        <v>3025.1446298716528</v>
      </c>
      <c r="D38" s="40">
        <f t="shared" si="1"/>
        <v>2685.6784728489683</v>
      </c>
      <c r="E38" s="40">
        <f t="shared" si="1"/>
        <v>2677.8856562263286</v>
      </c>
      <c r="F38" s="40">
        <f t="shared" si="1"/>
        <v>2670.1154513911865</v>
      </c>
      <c r="G38" s="40">
        <f t="shared" si="1"/>
        <v>2662.3677927327417</v>
      </c>
      <c r="H38" s="40">
        <f t="shared" si="1"/>
        <v>2654.6426148305718</v>
      </c>
    </row>
    <row r="39" spans="2:8" x14ac:dyDescent="0.2">
      <c r="B39" s="5"/>
      <c r="C39" s="5"/>
      <c r="D39" s="5"/>
      <c r="E39" s="5"/>
      <c r="F39" s="5"/>
      <c r="G39" s="5"/>
      <c r="H39" s="5"/>
    </row>
    <row r="40" spans="2:8" x14ac:dyDescent="0.2">
      <c r="B40" s="24" t="s">
        <v>19</v>
      </c>
      <c r="C40" s="10"/>
      <c r="D40" s="5"/>
      <c r="E40" s="5"/>
      <c r="F40" s="5"/>
      <c r="G40" s="5"/>
      <c r="H40" s="5"/>
    </row>
    <row r="41" spans="2:8" x14ac:dyDescent="0.2">
      <c r="B41" s="5" t="s">
        <v>20</v>
      </c>
      <c r="C41" s="42">
        <f>C26+F22*(F23-C26)</f>
        <v>9.9054000000000003E-2</v>
      </c>
      <c r="D41" s="5"/>
      <c r="E41" s="5"/>
      <c r="F41" s="5"/>
      <c r="G41" s="5"/>
      <c r="H41" s="5"/>
    </row>
    <row r="42" spans="2:8" x14ac:dyDescent="0.2">
      <c r="B42" s="5" t="s">
        <v>21</v>
      </c>
      <c r="C42" s="42">
        <f>F25/(F24+F25)</f>
        <v>0.19143931009162854</v>
      </c>
      <c r="D42" s="5"/>
      <c r="E42" s="5"/>
      <c r="F42" s="5"/>
      <c r="G42" s="5"/>
      <c r="H42" s="5"/>
    </row>
    <row r="43" spans="2:8" x14ac:dyDescent="0.2">
      <c r="B43" s="6" t="s">
        <v>22</v>
      </c>
      <c r="C43" s="43">
        <f>F24/(F24+F25)</f>
        <v>0.80856068990837149</v>
      </c>
      <c r="D43" s="5"/>
      <c r="E43" s="5"/>
      <c r="F43" s="5"/>
      <c r="G43" s="5"/>
      <c r="H43" s="5"/>
    </row>
    <row r="44" spans="2:8" x14ac:dyDescent="0.2">
      <c r="B44" s="9" t="s">
        <v>19</v>
      </c>
      <c r="C44" s="42">
        <f>C43*C41+C42*C24*(1-C25)</f>
        <v>8.5841487276470299E-2</v>
      </c>
      <c r="D44" s="5"/>
      <c r="E44" s="5"/>
      <c r="F44" s="5"/>
      <c r="G44" s="5"/>
      <c r="H44" s="5"/>
    </row>
    <row r="45" spans="2:8" x14ac:dyDescent="0.2">
      <c r="B45" s="5"/>
      <c r="C45" s="5"/>
      <c r="D45" s="5"/>
      <c r="E45" s="5"/>
      <c r="F45" s="5"/>
      <c r="G45" s="5"/>
      <c r="H45" s="5"/>
    </row>
    <row r="46" spans="2:8" x14ac:dyDescent="0.2">
      <c r="B46" s="24" t="s">
        <v>23</v>
      </c>
      <c r="C46" s="25"/>
      <c r="D46" s="25"/>
      <c r="E46" s="25"/>
      <c r="F46" s="25"/>
      <c r="G46" s="25"/>
      <c r="H46" s="25"/>
    </row>
    <row r="47" spans="2:8" x14ac:dyDescent="0.2">
      <c r="B47" s="5" t="s">
        <v>24</v>
      </c>
      <c r="C47" s="5"/>
      <c r="D47" s="5"/>
      <c r="E47" s="5"/>
      <c r="F47" s="5"/>
      <c r="G47" s="5"/>
      <c r="H47" s="40">
        <f>H33+H35</f>
        <v>8416.0163948350546</v>
      </c>
    </row>
    <row r="48" spans="2:8" x14ac:dyDescent="0.2">
      <c r="B48" s="5" t="s">
        <v>25</v>
      </c>
      <c r="C48" s="5"/>
      <c r="D48" s="5"/>
      <c r="E48" s="5"/>
      <c r="F48" s="5"/>
      <c r="G48" s="5"/>
      <c r="H48" s="40">
        <f>H47*C23</f>
        <v>84160.163948350542</v>
      </c>
    </row>
    <row r="49" spans="2:8" x14ac:dyDescent="0.2">
      <c r="B49" s="6" t="s">
        <v>26</v>
      </c>
      <c r="C49" s="6"/>
      <c r="D49" s="6"/>
      <c r="E49" s="6"/>
      <c r="F49" s="6"/>
      <c r="G49" s="6"/>
      <c r="H49" s="44">
        <f>H38*(1+C22)/(C44-C22)</f>
        <v>44722.915267287564</v>
      </c>
    </row>
    <row r="50" spans="2:8" x14ac:dyDescent="0.2">
      <c r="B50" s="9" t="s">
        <v>27</v>
      </c>
      <c r="C50" s="5"/>
      <c r="D50" s="5"/>
      <c r="E50" s="5"/>
      <c r="F50" s="5"/>
      <c r="G50" s="5"/>
      <c r="H50" s="40">
        <f>AVERAGE(H48:H49)</f>
        <v>64441.539607819053</v>
      </c>
    </row>
    <row r="51" spans="2:8" x14ac:dyDescent="0.2">
      <c r="B51" s="5"/>
      <c r="C51" s="5"/>
      <c r="D51" s="5"/>
      <c r="E51" s="5"/>
      <c r="F51" s="5"/>
      <c r="G51" s="5"/>
      <c r="H51" s="5"/>
    </row>
    <row r="52" spans="2:8" x14ac:dyDescent="0.2">
      <c r="B52" s="24" t="s">
        <v>28</v>
      </c>
      <c r="C52" s="23">
        <v>0</v>
      </c>
      <c r="D52" s="23">
        <v>1</v>
      </c>
      <c r="E52" s="23">
        <v>2</v>
      </c>
      <c r="F52" s="23">
        <v>3</v>
      </c>
      <c r="G52" s="23">
        <v>4</v>
      </c>
      <c r="H52" s="23">
        <v>5</v>
      </c>
    </row>
    <row r="53" spans="2:8" x14ac:dyDescent="0.2">
      <c r="B53" s="5" t="s">
        <v>29</v>
      </c>
      <c r="C53" s="45">
        <f t="shared" ref="C53:H53" si="2">1/(1+$C$44)^C52</f>
        <v>1</v>
      </c>
      <c r="D53" s="45">
        <f t="shared" si="2"/>
        <v>0.92094473430760171</v>
      </c>
      <c r="E53" s="45">
        <f t="shared" si="2"/>
        <v>0.84813920364889905</v>
      </c>
      <c r="F53" s="45">
        <f t="shared" si="2"/>
        <v>0.7810893335602962</v>
      </c>
      <c r="G53" s="45">
        <f t="shared" si="2"/>
        <v>0.7193401087661887</v>
      </c>
      <c r="H53" s="45">
        <f t="shared" si="2"/>
        <v>0.66247248534447889</v>
      </c>
    </row>
    <row r="54" spans="2:8" x14ac:dyDescent="0.2">
      <c r="B54" s="5" t="s">
        <v>30</v>
      </c>
      <c r="C54" s="26"/>
      <c r="D54" s="40">
        <f>D38*D53</f>
        <v>2473.3614476135385</v>
      </c>
      <c r="E54" s="40">
        <f>E38*E53</f>
        <v>2271.2198079346076</v>
      </c>
      <c r="F54" s="40">
        <f>F38*F53</f>
        <v>2085.5986984561914</v>
      </c>
      <c r="G54" s="40">
        <f>G38*G53</f>
        <v>1915.1479375999681</v>
      </c>
      <c r="H54" s="40">
        <f>H38*H53</f>
        <v>1758.6276907481752</v>
      </c>
    </row>
    <row r="55" spans="2:8" x14ac:dyDescent="0.2">
      <c r="B55" s="6" t="s">
        <v>31</v>
      </c>
      <c r="C55" s="6"/>
      <c r="D55" s="5"/>
      <c r="E55" s="5"/>
      <c r="F55" s="5"/>
      <c r="G55" s="5"/>
      <c r="H55" s="40">
        <f>H50*H53</f>
        <v>42690.746903416562</v>
      </c>
    </row>
    <row r="56" spans="2:8" x14ac:dyDescent="0.2">
      <c r="B56" s="9" t="s">
        <v>32</v>
      </c>
      <c r="C56" s="40">
        <f>SUM(D54:H54)+H55</f>
        <v>53194.702485769041</v>
      </c>
      <c r="D56" s="5"/>
      <c r="E56" s="5"/>
      <c r="F56" s="5"/>
      <c r="G56" s="5"/>
      <c r="H56" s="5"/>
    </row>
    <row r="57" spans="2:8" x14ac:dyDescent="0.2">
      <c r="B57" s="5"/>
      <c r="C57" s="5"/>
      <c r="D57" s="5"/>
      <c r="E57" s="5"/>
      <c r="F57" s="5"/>
      <c r="G57" s="5"/>
      <c r="H57" s="5"/>
    </row>
    <row r="58" spans="2:8" x14ac:dyDescent="0.2">
      <c r="B58" s="24" t="s">
        <v>33</v>
      </c>
      <c r="C58" s="5"/>
      <c r="D58" s="5"/>
      <c r="E58" s="5"/>
      <c r="F58" s="5"/>
      <c r="G58" s="5"/>
      <c r="H58" s="5"/>
    </row>
    <row r="59" spans="2:8" x14ac:dyDescent="0.2">
      <c r="B59" s="5" t="s">
        <v>34</v>
      </c>
      <c r="C59" s="27">
        <f>250+627</f>
        <v>877</v>
      </c>
      <c r="D59" s="5"/>
      <c r="E59" s="5"/>
      <c r="F59" s="5"/>
      <c r="G59" s="5"/>
      <c r="H59" s="5"/>
    </row>
    <row r="60" spans="2:8" x14ac:dyDescent="0.2">
      <c r="B60" s="5" t="s">
        <v>35</v>
      </c>
      <c r="C60" s="27">
        <v>4611</v>
      </c>
      <c r="D60" s="5"/>
      <c r="E60" s="5"/>
      <c r="F60" s="5"/>
      <c r="G60" s="5"/>
      <c r="H60" s="5"/>
    </row>
    <row r="61" spans="2:8" x14ac:dyDescent="0.2">
      <c r="B61" s="5" t="s">
        <v>36</v>
      </c>
      <c r="C61" s="27">
        <v>2130</v>
      </c>
      <c r="D61" s="5"/>
      <c r="E61" s="5"/>
      <c r="F61" s="5"/>
      <c r="G61" s="5"/>
      <c r="H61" s="5"/>
    </row>
    <row r="62" spans="2:8" x14ac:dyDescent="0.2">
      <c r="B62" s="6" t="s">
        <v>37</v>
      </c>
      <c r="C62" s="29">
        <v>14326</v>
      </c>
      <c r="D62" s="5"/>
      <c r="E62" s="5"/>
      <c r="F62" s="5"/>
      <c r="G62" s="5"/>
      <c r="H62" s="5"/>
    </row>
    <row r="63" spans="2:8" x14ac:dyDescent="0.2">
      <c r="B63" s="9" t="s">
        <v>7</v>
      </c>
      <c r="C63" s="40">
        <f>C56+C59+C60-C61-C62</f>
        <v>42226.702485769041</v>
      </c>
      <c r="D63" s="5"/>
      <c r="E63" s="5"/>
      <c r="F63" s="5"/>
      <c r="G63" s="5"/>
      <c r="H63" s="5"/>
    </row>
    <row r="64" spans="2:8" x14ac:dyDescent="0.2">
      <c r="B64" s="5"/>
      <c r="C64" s="5"/>
      <c r="D64" s="5"/>
      <c r="E64" s="5"/>
      <c r="F64" s="5"/>
      <c r="G64" s="5"/>
      <c r="H64" s="5"/>
    </row>
    <row r="65" spans="2:8" x14ac:dyDescent="0.2">
      <c r="B65" s="6" t="s">
        <v>38</v>
      </c>
      <c r="C65" s="46">
        <v>454.3</v>
      </c>
      <c r="D65" s="5"/>
      <c r="E65" s="5"/>
      <c r="F65" s="5"/>
      <c r="G65" s="5"/>
      <c r="H65" s="5"/>
    </row>
    <row r="66" spans="2:8" x14ac:dyDescent="0.2">
      <c r="B66" s="9" t="s">
        <v>39</v>
      </c>
      <c r="C66" s="47">
        <f>C63/C65</f>
        <v>92.948937895155268</v>
      </c>
      <c r="D66" s="5"/>
      <c r="E66" s="5"/>
      <c r="F66" s="5"/>
      <c r="G66" s="5"/>
      <c r="H66" s="5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FCF</vt:lpstr>
      <vt:lpstr>WACC</vt:lpstr>
      <vt:lpstr>Terminal Value</vt:lpstr>
      <vt:lpstr>Discounting</vt:lpstr>
      <vt:lpstr>Enterprise to Equity</vt:lpstr>
      <vt:lpstr>Full_DCF</vt:lpstr>
      <vt:lpstr>DCF_W_Historical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Reece, Oliver</dc:creator>
  <cp:lastModifiedBy>Oliver Reece</cp:lastModifiedBy>
  <dcterms:created xsi:type="dcterms:W3CDTF">2026-10-01T13:50:51Z</dcterms:created>
  <dcterms:modified xsi:type="dcterms:W3CDTF">2026-10-07T01:12:59Z</dcterms:modified>
</cp:coreProperties>
</file>